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NP\OneDrive\Dokumen\Rangga\URGENT !!!\"/>
    </mc:Choice>
  </mc:AlternateContent>
  <bookViews>
    <workbookView xWindow="0" yWindow="0" windowWidth="28800" windowHeight="12300" tabRatio="684"/>
  </bookViews>
  <sheets>
    <sheet name="Summary" sheetId="12" r:id="rId1"/>
    <sheet name="Computer Stitching PerHour" sheetId="20" r:id="rId2"/>
    <sheet name="Cell 3 603" sheetId="16" r:id="rId3"/>
    <sheet name="Cell 4 603" sheetId="2" r:id="rId4"/>
    <sheet name="Cell 5 603" sheetId="1" r:id="rId5"/>
    <sheet name="Cell 9 603" sheetId="15" r:id="rId6"/>
    <sheet name="Cell 10 603" sheetId="3" r:id="rId7"/>
    <sheet name="Cell 11 603" sheetId="11" r:id="rId8"/>
    <sheet name="Cell 5 CS Shift 2" sheetId="5" state="hidden" r:id="rId9"/>
    <sheet name="Cell 7 CS Shift 2" sheetId="9" state="hidden" r:id="rId10"/>
    <sheet name="Cell D6" sheetId="19" r:id="rId11"/>
    <sheet name="Buffer Zone" sheetId="8" r:id="rId12"/>
    <sheet name="Summary Issue Model 603" sheetId="17" r:id="rId13"/>
    <sheet name="Chartz" sheetId="18" r:id="rId14"/>
  </sheets>
  <externalReferences>
    <externalReference r:id="rId15"/>
    <externalReference r:id="rId16"/>
  </externalReferences>
  <definedNames>
    <definedName name="A" localSheetId="11">#REF!</definedName>
    <definedName name="A" localSheetId="6">#REF!</definedName>
    <definedName name="A" localSheetId="7">#REF!</definedName>
    <definedName name="A" localSheetId="2">#REF!</definedName>
    <definedName name="A" localSheetId="3">#REF!</definedName>
    <definedName name="A" localSheetId="4">#REF!</definedName>
    <definedName name="A" localSheetId="8">#REF!</definedName>
    <definedName name="A" localSheetId="9">#REF!</definedName>
    <definedName name="A" localSheetId="5">#REF!</definedName>
    <definedName name="A" localSheetId="10">#REF!</definedName>
    <definedName name="A" localSheetId="0">#REF!</definedName>
    <definedName name="A">#REF!</definedName>
    <definedName name="a??u55_Click">[1]!a??u55_Click</definedName>
    <definedName name="aa" localSheetId="11">#REF!</definedName>
    <definedName name="aa" localSheetId="6">#REF!</definedName>
    <definedName name="aa" localSheetId="7">#REF!</definedName>
    <definedName name="aa" localSheetId="2">#REF!</definedName>
    <definedName name="aa" localSheetId="3">#REF!</definedName>
    <definedName name="aa" localSheetId="4">#REF!</definedName>
    <definedName name="aa" localSheetId="8">#REF!</definedName>
    <definedName name="aa" localSheetId="9">#REF!</definedName>
    <definedName name="aa" localSheetId="5">#REF!</definedName>
    <definedName name="aa" localSheetId="10">#REF!</definedName>
    <definedName name="aa" localSheetId="0">#REF!</definedName>
    <definedName name="aa">#REF!</definedName>
    <definedName name="abc" localSheetId="11">#REF!</definedName>
    <definedName name="abc" localSheetId="6">#REF!</definedName>
    <definedName name="abc" localSheetId="7">#REF!</definedName>
    <definedName name="abc" localSheetId="2">#REF!</definedName>
    <definedName name="abc" localSheetId="3">#REF!</definedName>
    <definedName name="abc" localSheetId="4">#REF!</definedName>
    <definedName name="abc" localSheetId="8">#REF!</definedName>
    <definedName name="abc" localSheetId="9">#REF!</definedName>
    <definedName name="abc" localSheetId="5">#REF!</definedName>
    <definedName name="abc" localSheetId="10">#REF!</definedName>
    <definedName name="abc" localSheetId="0">#REF!</definedName>
    <definedName name="abc">#REF!</definedName>
    <definedName name="add" localSheetId="11">#REF!</definedName>
    <definedName name="add" localSheetId="6">#REF!</definedName>
    <definedName name="add" localSheetId="7">#REF!</definedName>
    <definedName name="add" localSheetId="2">#REF!</definedName>
    <definedName name="add" localSheetId="3">#REF!</definedName>
    <definedName name="add" localSheetId="4">#REF!</definedName>
    <definedName name="add" localSheetId="8">#REF!</definedName>
    <definedName name="add" localSheetId="9">#REF!</definedName>
    <definedName name="add" localSheetId="5">#REF!</definedName>
    <definedName name="add" localSheetId="10">#REF!</definedName>
    <definedName name="add" localSheetId="0">#REF!</definedName>
    <definedName name="add">#REF!</definedName>
    <definedName name="added" localSheetId="11">#REF!</definedName>
    <definedName name="added" localSheetId="6">#REF!</definedName>
    <definedName name="added" localSheetId="7">#REF!</definedName>
    <definedName name="added" localSheetId="2">#REF!</definedName>
    <definedName name="added" localSheetId="3">#REF!</definedName>
    <definedName name="added" localSheetId="4">#REF!</definedName>
    <definedName name="added" localSheetId="8">#REF!</definedName>
    <definedName name="added" localSheetId="9">#REF!</definedName>
    <definedName name="added" localSheetId="5">#REF!</definedName>
    <definedName name="added" localSheetId="10">#REF!</definedName>
    <definedName name="added" localSheetId="0">#REF!</definedName>
    <definedName name="added">#REF!</definedName>
    <definedName name="asep" localSheetId="11">BlankMacro1</definedName>
    <definedName name="asep" localSheetId="6">BlankMacro1</definedName>
    <definedName name="asep" localSheetId="7">BlankMacro1</definedName>
    <definedName name="asep" localSheetId="2">BlankMacro1</definedName>
    <definedName name="asep" localSheetId="3">BlankMacro1</definedName>
    <definedName name="asep" localSheetId="4">BlankMacro1</definedName>
    <definedName name="asep" localSheetId="8">BlankMacro1</definedName>
    <definedName name="asep" localSheetId="9">BlankMacro1</definedName>
    <definedName name="asep" localSheetId="5">BlankMacro1</definedName>
    <definedName name="asep" localSheetId="10">BlankMacro1</definedName>
    <definedName name="asep" localSheetId="0">BlankMacro1</definedName>
    <definedName name="asep">BlankMacro1</definedName>
    <definedName name="B" localSheetId="11">#REF!</definedName>
    <definedName name="B" localSheetId="6">#REF!</definedName>
    <definedName name="B" localSheetId="7">#REF!</definedName>
    <definedName name="B" localSheetId="2">#REF!</definedName>
    <definedName name="B" localSheetId="3">#REF!</definedName>
    <definedName name="B" localSheetId="4">#REF!</definedName>
    <definedName name="B" localSheetId="8">#REF!</definedName>
    <definedName name="B" localSheetId="9">#REF!</definedName>
    <definedName name="B" localSheetId="5">#REF!</definedName>
    <definedName name="B" localSheetId="10">#REF!</definedName>
    <definedName name="B" localSheetId="0">#REF!</definedName>
    <definedName name="B">#REF!</definedName>
    <definedName name="bpfc" localSheetId="11">#REF!</definedName>
    <definedName name="bpfc" localSheetId="6">#REF!</definedName>
    <definedName name="bpfc" localSheetId="7">#REF!</definedName>
    <definedName name="bpfc" localSheetId="2">#REF!</definedName>
    <definedName name="bpfc" localSheetId="3">#REF!</definedName>
    <definedName name="bpfc" localSheetId="4">#REF!</definedName>
    <definedName name="bpfc" localSheetId="8">#REF!</definedName>
    <definedName name="bpfc" localSheetId="9">#REF!</definedName>
    <definedName name="bpfc" localSheetId="5">#REF!</definedName>
    <definedName name="bpfc" localSheetId="10">#REF!</definedName>
    <definedName name="bpfc" localSheetId="0">#REF!</definedName>
    <definedName name="bpfc">#REF!</definedName>
    <definedName name="BPFC1" localSheetId="11">#REF!</definedName>
    <definedName name="BPFC1" localSheetId="6">#REF!</definedName>
    <definedName name="BPFC1" localSheetId="7">#REF!</definedName>
    <definedName name="BPFC1" localSheetId="2">#REF!</definedName>
    <definedName name="BPFC1" localSheetId="3">#REF!</definedName>
    <definedName name="BPFC1" localSheetId="4">#REF!</definedName>
    <definedName name="BPFC1" localSheetId="8">#REF!</definedName>
    <definedName name="BPFC1" localSheetId="9">#REF!</definedName>
    <definedName name="BPFC1" localSheetId="5">#REF!</definedName>
    <definedName name="BPFC1" localSheetId="10">#REF!</definedName>
    <definedName name="BPFC1" localSheetId="0">#REF!</definedName>
    <definedName name="BPFC1">#REF!</definedName>
    <definedName name="CUTTING" localSheetId="11">#REF!</definedName>
    <definedName name="CUTTING" localSheetId="6">#REF!</definedName>
    <definedName name="CUTTING" localSheetId="7">#REF!</definedName>
    <definedName name="CUTTING" localSheetId="2">#REF!</definedName>
    <definedName name="CUTTING" localSheetId="3">#REF!</definedName>
    <definedName name="CUTTING" localSheetId="4">#REF!</definedName>
    <definedName name="CUTTING" localSheetId="8">#REF!</definedName>
    <definedName name="CUTTING" localSheetId="9">#REF!</definedName>
    <definedName name="CUTTING" localSheetId="5">#REF!</definedName>
    <definedName name="CUTTING" localSheetId="10">#REF!</definedName>
    <definedName name="CUTTING" localSheetId="0">#REF!</definedName>
    <definedName name="CUTTING">#REF!</definedName>
    <definedName name="D" localSheetId="11">#REF!</definedName>
    <definedName name="D" localSheetId="6">#REF!</definedName>
    <definedName name="D" localSheetId="7">#REF!</definedName>
    <definedName name="D" localSheetId="2">#REF!</definedName>
    <definedName name="D" localSheetId="3">#REF!</definedName>
    <definedName name="D" localSheetId="4">#REF!</definedName>
    <definedName name="D" localSheetId="8">#REF!</definedName>
    <definedName name="D" localSheetId="9">#REF!</definedName>
    <definedName name="D" localSheetId="5">#REF!</definedName>
    <definedName name="D" localSheetId="10">#REF!</definedName>
    <definedName name="D" localSheetId="0">#REF!</definedName>
    <definedName name="D">#REF!</definedName>
    <definedName name="DF" localSheetId="11">#REF!</definedName>
    <definedName name="DF" localSheetId="6">#REF!</definedName>
    <definedName name="DF" localSheetId="7">#REF!</definedName>
    <definedName name="DF" localSheetId="2">#REF!</definedName>
    <definedName name="DF" localSheetId="3">#REF!</definedName>
    <definedName name="DF" localSheetId="4">#REF!</definedName>
    <definedName name="DF" localSheetId="8">#REF!</definedName>
    <definedName name="DF" localSheetId="9">#REF!</definedName>
    <definedName name="DF" localSheetId="5">#REF!</definedName>
    <definedName name="DF" localSheetId="10">#REF!</definedName>
    <definedName name="DF" localSheetId="0">#REF!</definedName>
    <definedName name="DF">#REF!</definedName>
    <definedName name="document" localSheetId="11">#REF!</definedName>
    <definedName name="document" localSheetId="6">#REF!</definedName>
    <definedName name="document" localSheetId="7">#REF!</definedName>
    <definedName name="document" localSheetId="2">#REF!</definedName>
    <definedName name="document" localSheetId="3">#REF!</definedName>
    <definedName name="document" localSheetId="4">#REF!</definedName>
    <definedName name="document" localSheetId="8">#REF!</definedName>
    <definedName name="document" localSheetId="9">#REF!</definedName>
    <definedName name="document" localSheetId="5">#REF!</definedName>
    <definedName name="document" localSheetId="10">#REF!</definedName>
    <definedName name="document" localSheetId="0">#REF!</definedName>
    <definedName name="document">#REF!</definedName>
    <definedName name="documnt" localSheetId="11">#REF!</definedName>
    <definedName name="documnt" localSheetId="6">#REF!</definedName>
    <definedName name="documnt" localSheetId="7">#REF!</definedName>
    <definedName name="documnt" localSheetId="2">#REF!</definedName>
    <definedName name="documnt" localSheetId="3">#REF!</definedName>
    <definedName name="documnt" localSheetId="4">#REF!</definedName>
    <definedName name="documnt" localSheetId="8">#REF!</definedName>
    <definedName name="documnt" localSheetId="9">#REF!</definedName>
    <definedName name="documnt" localSheetId="5">#REF!</definedName>
    <definedName name="documnt" localSheetId="10">#REF!</definedName>
    <definedName name="documnt" localSheetId="0">#REF!</definedName>
    <definedName name="documnt">#REF!</definedName>
    <definedName name="dsd" localSheetId="11">BlankMacro1</definedName>
    <definedName name="dsd" localSheetId="6">BlankMacro1</definedName>
    <definedName name="dsd" localSheetId="7">BlankMacro1</definedName>
    <definedName name="dsd" localSheetId="2">BlankMacro1</definedName>
    <definedName name="dsd" localSheetId="3">BlankMacro1</definedName>
    <definedName name="dsd" localSheetId="4">BlankMacro1</definedName>
    <definedName name="dsd" localSheetId="8">BlankMacro1</definedName>
    <definedName name="dsd" localSheetId="9">BlankMacro1</definedName>
    <definedName name="dsd" localSheetId="5">BlankMacro1</definedName>
    <definedName name="dsd" localSheetId="10">BlankMacro1</definedName>
    <definedName name="dsd" localSheetId="0">BlankMacro1</definedName>
    <definedName name="dsd">BlankMacro1</definedName>
    <definedName name="E" localSheetId="11">#REF!</definedName>
    <definedName name="E" localSheetId="6">#REF!</definedName>
    <definedName name="E" localSheetId="7">#REF!</definedName>
    <definedName name="E" localSheetId="2">#REF!</definedName>
    <definedName name="E" localSheetId="3">#REF!</definedName>
    <definedName name="E" localSheetId="4">#REF!</definedName>
    <definedName name="E" localSheetId="8">#REF!</definedName>
    <definedName name="E" localSheetId="9">#REF!</definedName>
    <definedName name="E" localSheetId="5">#REF!</definedName>
    <definedName name="E" localSheetId="10">#REF!</definedName>
    <definedName name="E" localSheetId="0">#REF!</definedName>
    <definedName name="E">#REF!</definedName>
    <definedName name="fhrh" localSheetId="11">#REF!</definedName>
    <definedName name="fhrh" localSheetId="6">#REF!</definedName>
    <definedName name="fhrh" localSheetId="7">#REF!</definedName>
    <definedName name="fhrh" localSheetId="2">#REF!</definedName>
    <definedName name="fhrh" localSheetId="3">#REF!</definedName>
    <definedName name="fhrh" localSheetId="4">#REF!</definedName>
    <definedName name="fhrh" localSheetId="8">#REF!</definedName>
    <definedName name="fhrh" localSheetId="9">#REF!</definedName>
    <definedName name="fhrh" localSheetId="5">#REF!</definedName>
    <definedName name="fhrh" localSheetId="10">#REF!</definedName>
    <definedName name="fhrh" localSheetId="0">#REF!</definedName>
    <definedName name="fhrh">#REF!</definedName>
    <definedName name="iid" localSheetId="11">BlankMacro1</definedName>
    <definedName name="iid" localSheetId="6">BlankMacro1</definedName>
    <definedName name="iid" localSheetId="7">BlankMacro1</definedName>
    <definedName name="iid" localSheetId="2">BlankMacro1</definedName>
    <definedName name="iid" localSheetId="3">BlankMacro1</definedName>
    <definedName name="iid" localSheetId="4">BlankMacro1</definedName>
    <definedName name="iid" localSheetId="8">BlankMacro1</definedName>
    <definedName name="iid" localSheetId="9">BlankMacro1</definedName>
    <definedName name="iid" localSheetId="5">BlankMacro1</definedName>
    <definedName name="iid" localSheetId="10">BlankMacro1</definedName>
    <definedName name="iid" localSheetId="0">BlankMacro1</definedName>
    <definedName name="iid">BlankMacro1</definedName>
    <definedName name="_xlnm.Print_Area" localSheetId="11">'Buffer Zone'!$B$1:$X$59</definedName>
    <definedName name="_xlnm.Print_Area" localSheetId="6">'Cell 10 603'!$B$1:$Y$65</definedName>
    <definedName name="_xlnm.Print_Area" localSheetId="7">'Cell 11 603'!$B$1:$X$65</definedName>
    <definedName name="_xlnm.Print_Area" localSheetId="2">'Cell 3 603'!$B$1:$Y$65</definedName>
    <definedName name="_xlnm.Print_Area" localSheetId="3">'Cell 4 603'!$B$1:$Y$65</definedName>
    <definedName name="_xlnm.Print_Area" localSheetId="4">'Cell 5 603'!$A$4:$AO$62</definedName>
    <definedName name="_xlnm.Print_Area" localSheetId="8">'Cell 5 CS Shift 2'!$B$1:$X$59</definedName>
    <definedName name="_xlnm.Print_Area" localSheetId="9">'Cell 7 CS Shift 2'!$B$1:$X$59</definedName>
    <definedName name="_xlnm.Print_Area" localSheetId="5">'Cell 9 603'!$A$4:$AO$62</definedName>
    <definedName name="_xlnm.Print_Area" localSheetId="10">'Cell D6'!$B$1:$X$65</definedName>
    <definedName name="_xlnm.Print_Area" localSheetId="1">'Computer Stitching PerHour'!$A$34:$V$96</definedName>
    <definedName name="_xlnm.Print_Area" localSheetId="0">Summary!$B$1:$AC$95</definedName>
    <definedName name="_xlnm.Print_Titles" localSheetId="11">#REF!</definedName>
    <definedName name="_xlnm.Print_Titles" localSheetId="6">#REF!</definedName>
    <definedName name="_xlnm.Print_Titles" localSheetId="7">#REF!</definedName>
    <definedName name="_xlnm.Print_Titles" localSheetId="2">#REF!</definedName>
    <definedName name="_xlnm.Print_Titles" localSheetId="4">#REF!</definedName>
    <definedName name="_xlnm.Print_Titles" localSheetId="8">#REF!</definedName>
    <definedName name="_xlnm.Print_Titles" localSheetId="9">#REF!</definedName>
    <definedName name="_xlnm.Print_Titles" localSheetId="5">#REF!</definedName>
    <definedName name="_xlnm.Print_Titles" localSheetId="10">#REF!</definedName>
    <definedName name="_xlnm.Print_Titles" localSheetId="0">#REF!</definedName>
    <definedName name="_xlnm.Print_Titles">#REF!</definedName>
    <definedName name="re" localSheetId="11">#REF!</definedName>
    <definedName name="re" localSheetId="6">#REF!</definedName>
    <definedName name="re" localSheetId="7">#REF!</definedName>
    <definedName name="re" localSheetId="2">#REF!</definedName>
    <definedName name="re" localSheetId="3">#REF!</definedName>
    <definedName name="re" localSheetId="4">#REF!</definedName>
    <definedName name="re" localSheetId="8">#REF!</definedName>
    <definedName name="re" localSheetId="9">#REF!</definedName>
    <definedName name="re" localSheetId="5">#REF!</definedName>
    <definedName name="re" localSheetId="10">#REF!</definedName>
    <definedName name="re" localSheetId="0">#REF!</definedName>
    <definedName name="re">#REF!</definedName>
    <definedName name="REPORT" localSheetId="11">#REF!</definedName>
    <definedName name="REPORT" localSheetId="6">#REF!</definedName>
    <definedName name="REPORT" localSheetId="7">#REF!</definedName>
    <definedName name="REPORT" localSheetId="2">#REF!</definedName>
    <definedName name="REPORT" localSheetId="3">#REF!</definedName>
    <definedName name="REPORT" localSheetId="4">#REF!</definedName>
    <definedName name="REPORT" localSheetId="8">#REF!</definedName>
    <definedName name="REPORT" localSheetId="9">#REF!</definedName>
    <definedName name="REPORT" localSheetId="5">#REF!</definedName>
    <definedName name="REPORT" localSheetId="10">#REF!</definedName>
    <definedName name="REPORT" localSheetId="0">#REF!</definedName>
    <definedName name="REPORT">#REF!</definedName>
    <definedName name="REPORT1" localSheetId="11">#REF!</definedName>
    <definedName name="REPORT1" localSheetId="6">#REF!</definedName>
    <definedName name="REPORT1" localSheetId="7">#REF!</definedName>
    <definedName name="REPORT1" localSheetId="2">#REF!</definedName>
    <definedName name="REPORT1" localSheetId="3">#REF!</definedName>
    <definedName name="REPORT1" localSheetId="4">#REF!</definedName>
    <definedName name="REPORT1" localSheetId="8">#REF!</definedName>
    <definedName name="REPORT1" localSheetId="9">#REF!</definedName>
    <definedName name="REPORT1" localSheetId="5">#REF!</definedName>
    <definedName name="REPORT1" localSheetId="10">#REF!</definedName>
    <definedName name="REPORT1" localSheetId="0">#REF!</definedName>
    <definedName name="REPORT1">#REF!</definedName>
    <definedName name="roae" localSheetId="11">#REF!</definedName>
    <definedName name="roae" localSheetId="6">#REF!</definedName>
    <definedName name="roae" localSheetId="7">#REF!</definedName>
    <definedName name="roae" localSheetId="2">#REF!</definedName>
    <definedName name="roae" localSheetId="8">#REF!</definedName>
    <definedName name="roae" localSheetId="9">#REF!</definedName>
    <definedName name="roae" localSheetId="5">#REF!</definedName>
    <definedName name="roae" localSheetId="10">#REF!</definedName>
    <definedName name="roae" localSheetId="0">#REF!</definedName>
    <definedName name="roae">#REF!</definedName>
    <definedName name="ROKER" localSheetId="11">#REF!</definedName>
    <definedName name="ROKER" localSheetId="6">#REF!</definedName>
    <definedName name="ROKER" localSheetId="7">#REF!</definedName>
    <definedName name="ROKER" localSheetId="2">#REF!</definedName>
    <definedName name="ROKER" localSheetId="8">#REF!</definedName>
    <definedName name="ROKER" localSheetId="9">#REF!</definedName>
    <definedName name="ROKER" localSheetId="5">#REF!</definedName>
    <definedName name="ROKER" localSheetId="10">#REF!</definedName>
    <definedName name="ROKER" localSheetId="0">#REF!</definedName>
    <definedName name="ROKER">#REF!</definedName>
    <definedName name="s" localSheetId="11">BlankMacro1</definedName>
    <definedName name="s" localSheetId="6">BlankMacro1</definedName>
    <definedName name="s" localSheetId="7">BlankMacro1</definedName>
    <definedName name="s" localSheetId="2">BlankMacro1</definedName>
    <definedName name="s" localSheetId="3">BlankMacro1</definedName>
    <definedName name="s" localSheetId="4">BlankMacro1</definedName>
    <definedName name="s" localSheetId="8">BlankMacro1</definedName>
    <definedName name="s" localSheetId="9">BlankMacro1</definedName>
    <definedName name="s" localSheetId="5">BlankMacro1</definedName>
    <definedName name="s" localSheetId="10">BlankMacro1</definedName>
    <definedName name="s" localSheetId="0">BlankMacro1</definedName>
    <definedName name="s">BlankMacro1</definedName>
    <definedName name="sarboid" localSheetId="11">BlankMacro1</definedName>
    <definedName name="sarboid" localSheetId="6">BlankMacro1</definedName>
    <definedName name="sarboid" localSheetId="7">BlankMacro1</definedName>
    <definedName name="sarboid" localSheetId="2">BlankMacro1</definedName>
    <definedName name="sarboid" localSheetId="3">BlankMacro1</definedName>
    <definedName name="sarboid" localSheetId="4">BlankMacro1</definedName>
    <definedName name="sarboid" localSheetId="8">BlankMacro1</definedName>
    <definedName name="sarboid" localSheetId="9">BlankMacro1</definedName>
    <definedName name="sarboid" localSheetId="5">BlankMacro1</definedName>
    <definedName name="sarboid" localSheetId="10">BlankMacro1</definedName>
    <definedName name="sarboid" localSheetId="0">BlankMacro1</definedName>
    <definedName name="sarboid">BlankMacro1</definedName>
    <definedName name="sev" localSheetId="11">BlankMacro1</definedName>
    <definedName name="sev" localSheetId="6">BlankMacro1</definedName>
    <definedName name="sev" localSheetId="7">BlankMacro1</definedName>
    <definedName name="sev" localSheetId="2">BlankMacro1</definedName>
    <definedName name="sev" localSheetId="3">BlankMacro1</definedName>
    <definedName name="sev" localSheetId="4">BlankMacro1</definedName>
    <definedName name="sev" localSheetId="8">BlankMacro1</definedName>
    <definedName name="sev" localSheetId="9">BlankMacro1</definedName>
    <definedName name="sev" localSheetId="5">BlankMacro1</definedName>
    <definedName name="sev" localSheetId="10">BlankMacro1</definedName>
    <definedName name="sev" localSheetId="0">BlankMacro1</definedName>
    <definedName name="sev">BlankMacro1</definedName>
    <definedName name="seva" localSheetId="11">BlankMacro1</definedName>
    <definedName name="seva" localSheetId="6">BlankMacro1</definedName>
    <definedName name="seva" localSheetId="7">BlankMacro1</definedName>
    <definedName name="seva" localSheetId="2">BlankMacro1</definedName>
    <definedName name="seva" localSheetId="3">BlankMacro1</definedName>
    <definedName name="seva" localSheetId="4">BlankMacro1</definedName>
    <definedName name="seva" localSheetId="8">BlankMacro1</definedName>
    <definedName name="seva" localSheetId="9">BlankMacro1</definedName>
    <definedName name="seva" localSheetId="5">BlankMacro1</definedName>
    <definedName name="seva" localSheetId="10">BlankMacro1</definedName>
    <definedName name="seva" localSheetId="0">BlankMacro1</definedName>
    <definedName name="seva">BlankMacro1</definedName>
    <definedName name="SFSDF" localSheetId="11">#REF!</definedName>
    <definedName name="SFSDF" localSheetId="6">#REF!</definedName>
    <definedName name="SFSDF" localSheetId="7">#REF!</definedName>
    <definedName name="SFSDF" localSheetId="2">#REF!</definedName>
    <definedName name="SFSDF" localSheetId="3">#REF!</definedName>
    <definedName name="SFSDF" localSheetId="4">#REF!</definedName>
    <definedName name="SFSDF" localSheetId="8">#REF!</definedName>
    <definedName name="SFSDF" localSheetId="9">#REF!</definedName>
    <definedName name="SFSDF" localSheetId="5">#REF!</definedName>
    <definedName name="SFSDF" localSheetId="10">#REF!</definedName>
    <definedName name="SFSDF" localSheetId="0">#REF!</definedName>
    <definedName name="SFSDF">#REF!</definedName>
    <definedName name="sheet" localSheetId="11">#REF!</definedName>
    <definedName name="sheet" localSheetId="6">#REF!</definedName>
    <definedName name="sheet" localSheetId="7">#REF!</definedName>
    <definedName name="sheet" localSheetId="2">#REF!</definedName>
    <definedName name="sheet" localSheetId="3">#REF!</definedName>
    <definedName name="sheet" localSheetId="4">#REF!</definedName>
    <definedName name="sheet" localSheetId="8">#REF!</definedName>
    <definedName name="sheet" localSheetId="9">#REF!</definedName>
    <definedName name="sheet" localSheetId="5">#REF!</definedName>
    <definedName name="sheet" localSheetId="10">#REF!</definedName>
    <definedName name="sheet" localSheetId="0">#REF!</definedName>
    <definedName name="sheet">#REF!</definedName>
    <definedName name="spec" localSheetId="11">#REF!</definedName>
    <definedName name="spec" localSheetId="6">#REF!</definedName>
    <definedName name="spec" localSheetId="7">#REF!</definedName>
    <definedName name="spec" localSheetId="2">#REF!</definedName>
    <definedName name="spec" localSheetId="3">#REF!</definedName>
    <definedName name="spec" localSheetId="4">#REF!</definedName>
    <definedName name="spec" localSheetId="8">#REF!</definedName>
    <definedName name="spec" localSheetId="9">#REF!</definedName>
    <definedName name="spec" localSheetId="5">#REF!</definedName>
    <definedName name="spec" localSheetId="10">#REF!</definedName>
    <definedName name="spec" localSheetId="0">#REF!</definedName>
    <definedName name="spec">#REF!</definedName>
    <definedName name="ss">[1]!直線55_Click</definedName>
    <definedName name="stamping" localSheetId="11">BlankMacro1</definedName>
    <definedName name="stamping" localSheetId="6">BlankMacro1</definedName>
    <definedName name="stamping" localSheetId="7">BlankMacro1</definedName>
    <definedName name="stamping" localSheetId="2">BlankMacro1</definedName>
    <definedName name="stamping" localSheetId="3">BlankMacro1</definedName>
    <definedName name="stamping" localSheetId="4">BlankMacro1</definedName>
    <definedName name="stamping" localSheetId="8">BlankMacro1</definedName>
    <definedName name="stamping" localSheetId="9">BlankMacro1</definedName>
    <definedName name="stamping" localSheetId="5">BlankMacro1</definedName>
    <definedName name="stamping" localSheetId="10">BlankMacro1</definedName>
    <definedName name="stamping" localSheetId="0">BlankMacro1</definedName>
    <definedName name="stamping">BlankMacro1</definedName>
    <definedName name="TAPE" localSheetId="11">#REF!</definedName>
    <definedName name="TAPE" localSheetId="6">#REF!</definedName>
    <definedName name="TAPE" localSheetId="7">#REF!</definedName>
    <definedName name="TAPE" localSheetId="2">#REF!</definedName>
    <definedName name="TAPE" localSheetId="3">#REF!</definedName>
    <definedName name="TAPE" localSheetId="4">#REF!</definedName>
    <definedName name="TAPE" localSheetId="8">#REF!</definedName>
    <definedName name="TAPE" localSheetId="9">#REF!</definedName>
    <definedName name="TAPE" localSheetId="5">#REF!</definedName>
    <definedName name="TAPE" localSheetId="10">#REF!</definedName>
    <definedName name="TAPE" localSheetId="0">#REF!</definedName>
    <definedName name="TAPE">#REF!</definedName>
    <definedName name="tls" localSheetId="11">BlankMacro1</definedName>
    <definedName name="tls" localSheetId="6">BlankMacro1</definedName>
    <definedName name="tls" localSheetId="7">BlankMacro1</definedName>
    <definedName name="tls" localSheetId="2">BlankMacro1</definedName>
    <definedName name="tls" localSheetId="3">BlankMacro1</definedName>
    <definedName name="tls" localSheetId="4">BlankMacro1</definedName>
    <definedName name="tls" localSheetId="8">BlankMacro1</definedName>
    <definedName name="tls" localSheetId="9">BlankMacro1</definedName>
    <definedName name="tls" localSheetId="5">BlankMacro1</definedName>
    <definedName name="tls" localSheetId="10">BlankMacro1</definedName>
    <definedName name="tls" localSheetId="0">BlankMacro1</definedName>
    <definedName name="tls">BlankMacro1</definedName>
    <definedName name="wedy" localSheetId="11">BlankMacro1</definedName>
    <definedName name="wedy" localSheetId="6">BlankMacro1</definedName>
    <definedName name="wedy" localSheetId="7">BlankMacro1</definedName>
    <definedName name="wedy" localSheetId="2">BlankMacro1</definedName>
    <definedName name="wedy" localSheetId="3">BlankMacro1</definedName>
    <definedName name="wedy" localSheetId="4">BlankMacro1</definedName>
    <definedName name="wedy" localSheetId="8">BlankMacro1</definedName>
    <definedName name="wedy" localSheetId="9">BlankMacro1</definedName>
    <definedName name="wedy" localSheetId="5">BlankMacro1</definedName>
    <definedName name="wedy" localSheetId="10">BlankMacro1</definedName>
    <definedName name="wedy" localSheetId="0">BlankMacro1</definedName>
    <definedName name="wedy">BlankMacro1</definedName>
    <definedName name="WHAT" localSheetId="11">#REF!</definedName>
    <definedName name="WHAT" localSheetId="6">#REF!</definedName>
    <definedName name="WHAT" localSheetId="7">#REF!</definedName>
    <definedName name="WHAT" localSheetId="2">#REF!</definedName>
    <definedName name="WHAT" localSheetId="3">#REF!</definedName>
    <definedName name="WHAT" localSheetId="4">#REF!</definedName>
    <definedName name="WHAT" localSheetId="8">#REF!</definedName>
    <definedName name="WHAT" localSheetId="9">#REF!</definedName>
    <definedName name="WHAT" localSheetId="5">#REF!</definedName>
    <definedName name="WHAT" localSheetId="10">#REF!</definedName>
    <definedName name="WHAT" localSheetId="0">#REF!</definedName>
    <definedName name="WHAT">#REF!</definedName>
    <definedName name="x" localSheetId="11">BlankMacro1</definedName>
    <definedName name="x" localSheetId="6">BlankMacro1</definedName>
    <definedName name="x" localSheetId="7">BlankMacro1</definedName>
    <definedName name="x" localSheetId="2">BlankMacro1</definedName>
    <definedName name="x" localSheetId="3">BlankMacro1</definedName>
    <definedName name="x" localSheetId="4">BlankMacro1</definedName>
    <definedName name="x" localSheetId="8">BlankMacro1</definedName>
    <definedName name="x" localSheetId="9">BlankMacro1</definedName>
    <definedName name="x" localSheetId="5">BlankMacro1</definedName>
    <definedName name="x" localSheetId="10">BlankMacro1</definedName>
    <definedName name="x" localSheetId="0">BlankMacro1</definedName>
    <definedName name="x">BlankMacro1</definedName>
    <definedName name="ㄹㄹ" localSheetId="11">#REF!</definedName>
    <definedName name="ㄹㄹ" localSheetId="6">#REF!</definedName>
    <definedName name="ㄹㄹ" localSheetId="7">#REF!</definedName>
    <definedName name="ㄹㄹ" localSheetId="2">#REF!</definedName>
    <definedName name="ㄹㄹ" localSheetId="3">#REF!</definedName>
    <definedName name="ㄹㄹ" localSheetId="4">#REF!</definedName>
    <definedName name="ㄹㄹ" localSheetId="8">#REF!</definedName>
    <definedName name="ㄹㄹ" localSheetId="9">#REF!</definedName>
    <definedName name="ㄹㄹ" localSheetId="5">#REF!</definedName>
    <definedName name="ㄹㄹ" localSheetId="10">#REF!</definedName>
    <definedName name="ㄹㄹ" localSheetId="0">#REF!</definedName>
    <definedName name="ㄹㄹ">#REF!</definedName>
    <definedName name="ㅁ1" localSheetId="11">#REF!</definedName>
    <definedName name="ㅁ1" localSheetId="6">#REF!</definedName>
    <definedName name="ㅁ1" localSheetId="7">#REF!</definedName>
    <definedName name="ㅁ1" localSheetId="2">#REF!</definedName>
    <definedName name="ㅁ1" localSheetId="3">#REF!</definedName>
    <definedName name="ㅁ1" localSheetId="4">#REF!</definedName>
    <definedName name="ㅁ1" localSheetId="8">#REF!</definedName>
    <definedName name="ㅁ1" localSheetId="9">#REF!</definedName>
    <definedName name="ㅁ1" localSheetId="5">#REF!</definedName>
    <definedName name="ㅁ1" localSheetId="10">#REF!</definedName>
    <definedName name="ㅁ1" localSheetId="0">#REF!</definedName>
    <definedName name="ㅁ1">#REF!</definedName>
    <definedName name="ㅂ" localSheetId="11">BlankMacro1</definedName>
    <definedName name="ㅂ" localSheetId="6">BlankMacro1</definedName>
    <definedName name="ㅂ" localSheetId="7">BlankMacro1</definedName>
    <definedName name="ㅂ" localSheetId="2">BlankMacro1</definedName>
    <definedName name="ㅂ" localSheetId="3">BlankMacro1</definedName>
    <definedName name="ㅂ" localSheetId="4">BlankMacro1</definedName>
    <definedName name="ㅂ" localSheetId="8">BlankMacro1</definedName>
    <definedName name="ㅂ" localSheetId="9">BlankMacro1</definedName>
    <definedName name="ㅂ" localSheetId="5">BlankMacro1</definedName>
    <definedName name="ㅂ" localSheetId="10">BlankMacro1</definedName>
    <definedName name="ㅂ" localSheetId="0">BlankMacro1</definedName>
    <definedName name="ㅂ">BlankMacro1</definedName>
    <definedName name="인원" localSheetId="11">BlankMacro1</definedName>
    <definedName name="인원" localSheetId="6">BlankMacro1</definedName>
    <definedName name="인원" localSheetId="7">BlankMacro1</definedName>
    <definedName name="인원" localSheetId="2">BlankMacro1</definedName>
    <definedName name="인원" localSheetId="3">BlankMacro1</definedName>
    <definedName name="인원" localSheetId="4">BlankMacro1</definedName>
    <definedName name="인원" localSheetId="8">BlankMacro1</definedName>
    <definedName name="인원" localSheetId="9">BlankMacro1</definedName>
    <definedName name="인원" localSheetId="5">BlankMacro1</definedName>
    <definedName name="인원" localSheetId="10">BlankMacro1</definedName>
    <definedName name="인원" localSheetId="0">BlankMacro1</definedName>
    <definedName name="인원">BlankMacro1</definedName>
    <definedName name="일" localSheetId="11">#REF!</definedName>
    <definedName name="일" localSheetId="6">#REF!</definedName>
    <definedName name="일" localSheetId="7">#REF!</definedName>
    <definedName name="일" localSheetId="2">#REF!</definedName>
    <definedName name="일" localSheetId="3">#REF!</definedName>
    <definedName name="일" localSheetId="4">#REF!</definedName>
    <definedName name="일" localSheetId="8">#REF!</definedName>
    <definedName name="일" localSheetId="9">#REF!</definedName>
    <definedName name="일" localSheetId="5">#REF!</definedName>
    <definedName name="일" localSheetId="10">#REF!</definedName>
    <definedName name="일" localSheetId="0">#REF!</definedName>
    <definedName name="일">#REF!</definedName>
    <definedName name="템플리트모듈1" localSheetId="11">BlankMacro1</definedName>
    <definedName name="템플리트모듈1" localSheetId="6">BlankMacro1</definedName>
    <definedName name="템플리트모듈1" localSheetId="7">BlankMacro1</definedName>
    <definedName name="템플리트모듈1" localSheetId="2">BlankMacro1</definedName>
    <definedName name="템플리트모듈1" localSheetId="3">BlankMacro1</definedName>
    <definedName name="템플리트모듈1" localSheetId="4">BlankMacro1</definedName>
    <definedName name="템플리트모듈1" localSheetId="8">BlankMacro1</definedName>
    <definedName name="템플리트모듈1" localSheetId="9">BlankMacro1</definedName>
    <definedName name="템플리트모듈1" localSheetId="5">BlankMacro1</definedName>
    <definedName name="템플리트모듈1" localSheetId="10">BlankMacro1</definedName>
    <definedName name="템플리트모듈1" localSheetId="0">BlankMacro1</definedName>
    <definedName name="템플리트모듈1">BlankMacro1</definedName>
    <definedName name="템플리트모듈2" localSheetId="11">BlankMacro1</definedName>
    <definedName name="템플리트모듈2" localSheetId="6">BlankMacro1</definedName>
    <definedName name="템플리트모듈2" localSheetId="7">BlankMacro1</definedName>
    <definedName name="템플리트모듈2" localSheetId="2">BlankMacro1</definedName>
    <definedName name="템플리트모듈2" localSheetId="3">BlankMacro1</definedName>
    <definedName name="템플리트모듈2" localSheetId="4">BlankMacro1</definedName>
    <definedName name="템플리트모듈2" localSheetId="8">BlankMacro1</definedName>
    <definedName name="템플리트모듈2" localSheetId="9">BlankMacro1</definedName>
    <definedName name="템플리트모듈2" localSheetId="5">BlankMacro1</definedName>
    <definedName name="템플리트모듈2" localSheetId="10">BlankMacro1</definedName>
    <definedName name="템플리트모듈2" localSheetId="0">BlankMacro1</definedName>
    <definedName name="템플리트모듈2">BlankMacro1</definedName>
    <definedName name="템플리트모듈3" localSheetId="11">BlankMacro1</definedName>
    <definedName name="템플리트모듈3" localSheetId="6">BlankMacro1</definedName>
    <definedName name="템플리트모듈3" localSheetId="7">BlankMacro1</definedName>
    <definedName name="템플리트모듈3" localSheetId="2">BlankMacro1</definedName>
    <definedName name="템플리트모듈3" localSheetId="3">BlankMacro1</definedName>
    <definedName name="템플리트모듈3" localSheetId="4">BlankMacro1</definedName>
    <definedName name="템플리트모듈3" localSheetId="8">BlankMacro1</definedName>
    <definedName name="템플리트모듈3" localSheetId="9">BlankMacro1</definedName>
    <definedName name="템플리트모듈3" localSheetId="5">BlankMacro1</definedName>
    <definedName name="템플리트모듈3" localSheetId="10">BlankMacro1</definedName>
    <definedName name="템플리트모듈3" localSheetId="0">BlankMacro1</definedName>
    <definedName name="템플리트모듈3">BlankMacro1</definedName>
    <definedName name="템플리트모듈4" localSheetId="11">BlankMacro1</definedName>
    <definedName name="템플리트모듈4" localSheetId="6">BlankMacro1</definedName>
    <definedName name="템플리트모듈4" localSheetId="7">BlankMacro1</definedName>
    <definedName name="템플리트모듈4" localSheetId="2">BlankMacro1</definedName>
    <definedName name="템플리트모듈4" localSheetId="3">BlankMacro1</definedName>
    <definedName name="템플리트모듈4" localSheetId="4">BlankMacro1</definedName>
    <definedName name="템플리트모듈4" localSheetId="8">BlankMacro1</definedName>
    <definedName name="템플리트모듈4" localSheetId="9">BlankMacro1</definedName>
    <definedName name="템플리트모듈4" localSheetId="5">BlankMacro1</definedName>
    <definedName name="템플리트모듈4" localSheetId="10">BlankMacro1</definedName>
    <definedName name="템플리트모듈4" localSheetId="0">BlankMacro1</definedName>
    <definedName name="템플리트모듈4">BlankMacro1</definedName>
    <definedName name="템플리트모듈5" localSheetId="11">BlankMacro1</definedName>
    <definedName name="템플리트모듈5" localSheetId="6">BlankMacro1</definedName>
    <definedName name="템플리트모듈5" localSheetId="7">BlankMacro1</definedName>
    <definedName name="템플리트모듈5" localSheetId="2">BlankMacro1</definedName>
    <definedName name="템플리트모듈5" localSheetId="3">BlankMacro1</definedName>
    <definedName name="템플리트모듈5" localSheetId="4">BlankMacro1</definedName>
    <definedName name="템플리트모듈5" localSheetId="8">BlankMacro1</definedName>
    <definedName name="템플리트모듈5" localSheetId="9">BlankMacro1</definedName>
    <definedName name="템플리트모듈5" localSheetId="5">BlankMacro1</definedName>
    <definedName name="템플리트모듈5" localSheetId="10">BlankMacro1</definedName>
    <definedName name="템플리트모듈5" localSheetId="0">BlankMacro1</definedName>
    <definedName name="템플리트모듈5">BlankMacro1</definedName>
    <definedName name="템플리트모듈6" localSheetId="11">BlankMacro1</definedName>
    <definedName name="템플리트모듈6" localSheetId="6">BlankMacro1</definedName>
    <definedName name="템플리트모듈6" localSheetId="7">BlankMacro1</definedName>
    <definedName name="템플리트모듈6" localSheetId="2">BlankMacro1</definedName>
    <definedName name="템플리트모듈6" localSheetId="3">BlankMacro1</definedName>
    <definedName name="템플리트모듈6" localSheetId="4">BlankMacro1</definedName>
    <definedName name="템플리트모듈6" localSheetId="8">BlankMacro1</definedName>
    <definedName name="템플리트모듈6" localSheetId="9">BlankMacro1</definedName>
    <definedName name="템플리트모듈6" localSheetId="5">BlankMacro1</definedName>
    <definedName name="템플리트모듈6" localSheetId="10">BlankMacro1</definedName>
    <definedName name="템플리트모듈6" localSheetId="0">BlankMacro1</definedName>
    <definedName name="템플리트모듈6">BlankMacro1</definedName>
    <definedName name="寺">[2]!直線55_Click</definedName>
    <definedName name="直線55_Click">[1]!直線55_Click</definedName>
    <definedName name="矗線56_Click">[1]!直線55_Click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Y79" i="12" l="1"/>
  <c r="BY78" i="12"/>
  <c r="BX79" i="12"/>
  <c r="BX78" i="12"/>
  <c r="BO79" i="12"/>
  <c r="BN79" i="12"/>
  <c r="BM79" i="12"/>
  <c r="BL79" i="12"/>
  <c r="BK79" i="12"/>
  <c r="BJ79" i="12"/>
  <c r="BI79" i="12"/>
  <c r="BH79" i="12"/>
  <c r="BG79" i="12"/>
  <c r="BF79" i="12"/>
  <c r="BE79" i="12"/>
  <c r="BD79" i="12"/>
  <c r="BC79" i="12"/>
  <c r="BB79" i="12"/>
  <c r="BA79" i="12"/>
  <c r="AZ79" i="12"/>
  <c r="AY79" i="12"/>
  <c r="AX79" i="12"/>
  <c r="AW79" i="12"/>
  <c r="AV79" i="12"/>
  <c r="AU79" i="12"/>
  <c r="AT79" i="12"/>
  <c r="AS79" i="12"/>
  <c r="AR79" i="12"/>
  <c r="AQ79" i="12"/>
  <c r="AP79" i="12"/>
  <c r="AO79" i="12"/>
  <c r="AN79" i="12"/>
  <c r="AM79" i="12"/>
  <c r="AL79" i="12"/>
  <c r="AK79" i="12"/>
  <c r="AJ79" i="12"/>
  <c r="AI79" i="12"/>
  <c r="AH79" i="12"/>
  <c r="AG79" i="12"/>
  <c r="AF79" i="12"/>
  <c r="AE79" i="12"/>
  <c r="AD79" i="12"/>
  <c r="AC79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BO78" i="12"/>
  <c r="BN78" i="12"/>
  <c r="BM78" i="12"/>
  <c r="BL78" i="12"/>
  <c r="BK78" i="12"/>
  <c r="BJ78" i="12"/>
  <c r="BI78" i="12"/>
  <c r="BH78" i="12"/>
  <c r="BG78" i="12"/>
  <c r="BF78" i="12"/>
  <c r="BE78" i="12"/>
  <c r="BD78" i="12"/>
  <c r="BC78" i="12"/>
  <c r="BB78" i="12"/>
  <c r="BA78" i="12"/>
  <c r="AZ78" i="12"/>
  <c r="AY78" i="12"/>
  <c r="AX78" i="12"/>
  <c r="AW78" i="12"/>
  <c r="AV78" i="12"/>
  <c r="AU78" i="12"/>
  <c r="AT78" i="12"/>
  <c r="AS78" i="12"/>
  <c r="AR78" i="12"/>
  <c r="AQ78" i="12"/>
  <c r="AP78" i="12"/>
  <c r="AO78" i="12"/>
  <c r="F78" i="12"/>
  <c r="BY74" i="12" l="1"/>
  <c r="BY75" i="12"/>
  <c r="BY76" i="12"/>
  <c r="BY77" i="12"/>
  <c r="BY80" i="12"/>
  <c r="BY81" i="12"/>
  <c r="BY82" i="12"/>
  <c r="BY83" i="12"/>
  <c r="BY51" i="12"/>
  <c r="BY52" i="12"/>
  <c r="BY53" i="12"/>
  <c r="BY54" i="12"/>
  <c r="BY55" i="12"/>
  <c r="BY56" i="12"/>
  <c r="BY57" i="12"/>
  <c r="BY58" i="12"/>
  <c r="BY59" i="12"/>
  <c r="BY60" i="12"/>
  <c r="BY61" i="12"/>
  <c r="BY62" i="12"/>
  <c r="BY63" i="12"/>
  <c r="BY64" i="12"/>
  <c r="BY30" i="12"/>
  <c r="BY31" i="12"/>
  <c r="BY32" i="12"/>
  <c r="BY33" i="12"/>
  <c r="BY34" i="12"/>
  <c r="BY35" i="12"/>
  <c r="BY36" i="12"/>
  <c r="BY37" i="12"/>
  <c r="BY38" i="12"/>
  <c r="BY39" i="12"/>
  <c r="BY40" i="12"/>
  <c r="BY41" i="12"/>
  <c r="BY9" i="12"/>
  <c r="BY10" i="12"/>
  <c r="BY11" i="12"/>
  <c r="BY12" i="12"/>
  <c r="BY13" i="12"/>
  <c r="BY14" i="12"/>
  <c r="BY15" i="12"/>
  <c r="BY16" i="12"/>
  <c r="BY17" i="12"/>
  <c r="BY18" i="12"/>
  <c r="BY19" i="12"/>
  <c r="BY20" i="12"/>
  <c r="BV74" i="12"/>
  <c r="BW74" i="12"/>
  <c r="BX74" i="12"/>
  <c r="BV75" i="12"/>
  <c r="BW75" i="12"/>
  <c r="BX75" i="12"/>
  <c r="BV76" i="12"/>
  <c r="BW76" i="12"/>
  <c r="BX76" i="12"/>
  <c r="BV77" i="12"/>
  <c r="BW77" i="12"/>
  <c r="BX77" i="12"/>
  <c r="BV80" i="12"/>
  <c r="BW80" i="12"/>
  <c r="BX80" i="12"/>
  <c r="BV81" i="12"/>
  <c r="BW81" i="12"/>
  <c r="BX81" i="12"/>
  <c r="BV82" i="12"/>
  <c r="BW82" i="12"/>
  <c r="BX82" i="12"/>
  <c r="BV83" i="12"/>
  <c r="BW83" i="12"/>
  <c r="BX83" i="12"/>
  <c r="BV51" i="12"/>
  <c r="BW51" i="12"/>
  <c r="BX51" i="12"/>
  <c r="BV52" i="12"/>
  <c r="BW52" i="12"/>
  <c r="BX52" i="12"/>
  <c r="BV53" i="12"/>
  <c r="BW53" i="12"/>
  <c r="BX53" i="12"/>
  <c r="BV54" i="12"/>
  <c r="BW54" i="12"/>
  <c r="BX54" i="12"/>
  <c r="BV55" i="12"/>
  <c r="BW55" i="12"/>
  <c r="BX55" i="12"/>
  <c r="BV56" i="12"/>
  <c r="BW56" i="12"/>
  <c r="BX56" i="12"/>
  <c r="BV57" i="12"/>
  <c r="BW57" i="12"/>
  <c r="BX57" i="12"/>
  <c r="BV58" i="12"/>
  <c r="BW58" i="12"/>
  <c r="BX58" i="12"/>
  <c r="BV59" i="12"/>
  <c r="BW59" i="12"/>
  <c r="BX59" i="12"/>
  <c r="BV60" i="12"/>
  <c r="BW60" i="12"/>
  <c r="BX60" i="12"/>
  <c r="BV61" i="12"/>
  <c r="BW61" i="12"/>
  <c r="BX61" i="12"/>
  <c r="BV62" i="12"/>
  <c r="BW62" i="12"/>
  <c r="BX62" i="12"/>
  <c r="BV63" i="12"/>
  <c r="BW63" i="12"/>
  <c r="BX63" i="12"/>
  <c r="BV64" i="12"/>
  <c r="BW64" i="12"/>
  <c r="BX64" i="12"/>
  <c r="BX30" i="12"/>
  <c r="BX31" i="12"/>
  <c r="BX32" i="12"/>
  <c r="BX33" i="12"/>
  <c r="BX34" i="12"/>
  <c r="BX35" i="12"/>
  <c r="BX36" i="12"/>
  <c r="BX37" i="12"/>
  <c r="BX38" i="12"/>
  <c r="BX39" i="12"/>
  <c r="BX40" i="12"/>
  <c r="BX41" i="12"/>
  <c r="BX9" i="12"/>
  <c r="BX10" i="12"/>
  <c r="BX11" i="12"/>
  <c r="BX12" i="12"/>
  <c r="BX13" i="12"/>
  <c r="BX14" i="12"/>
  <c r="BX15" i="12"/>
  <c r="BX16" i="12"/>
  <c r="BX17" i="12"/>
  <c r="BX18" i="12"/>
  <c r="BX19" i="12"/>
  <c r="BX20" i="12"/>
  <c r="BV30" i="12"/>
  <c r="BW30" i="12"/>
  <c r="BV31" i="12"/>
  <c r="BW31" i="12"/>
  <c r="BV32" i="12"/>
  <c r="BW32" i="12"/>
  <c r="BV33" i="12"/>
  <c r="BW33" i="12"/>
  <c r="BV34" i="12"/>
  <c r="BW34" i="12"/>
  <c r="BV35" i="12"/>
  <c r="BW35" i="12"/>
  <c r="BV36" i="12"/>
  <c r="BW36" i="12"/>
  <c r="BV37" i="12"/>
  <c r="BW37" i="12"/>
  <c r="BV38" i="12"/>
  <c r="BW38" i="12"/>
  <c r="BV39" i="12"/>
  <c r="BW39" i="12"/>
  <c r="BV40" i="12"/>
  <c r="BW40" i="12"/>
  <c r="BV41" i="12"/>
  <c r="BW41" i="12"/>
  <c r="BV9" i="12"/>
  <c r="BW9" i="12"/>
  <c r="BV10" i="12"/>
  <c r="BW10" i="12"/>
  <c r="BV11" i="12"/>
  <c r="BW11" i="12"/>
  <c r="BV12" i="12"/>
  <c r="BW12" i="12"/>
  <c r="BV13" i="12"/>
  <c r="BW13" i="12"/>
  <c r="BV14" i="12"/>
  <c r="BW14" i="12"/>
  <c r="BV15" i="12"/>
  <c r="BW15" i="12"/>
  <c r="BV16" i="12"/>
  <c r="BW16" i="12"/>
  <c r="BV17" i="12"/>
  <c r="BW17" i="12"/>
  <c r="BV18" i="12"/>
  <c r="BW18" i="12"/>
  <c r="BV19" i="12"/>
  <c r="BW19" i="12"/>
  <c r="BV20" i="12"/>
  <c r="BW20" i="12"/>
  <c r="BR12" i="3"/>
  <c r="CI16" i="2"/>
  <c r="CJ16" i="2"/>
  <c r="CK16" i="2"/>
  <c r="CI14" i="2"/>
  <c r="CJ14" i="2"/>
  <c r="CK14" i="2"/>
  <c r="CI12" i="2"/>
  <c r="CJ12" i="2"/>
  <c r="CK12" i="2"/>
  <c r="CI10" i="2"/>
  <c r="CJ10" i="2"/>
  <c r="CK10" i="2"/>
  <c r="BU74" i="12" l="1"/>
  <c r="BU75" i="12"/>
  <c r="BU76" i="12"/>
  <c r="BU77" i="12"/>
  <c r="BU80" i="12"/>
  <c r="BU81" i="12"/>
  <c r="BU82" i="12"/>
  <c r="BU83" i="12"/>
  <c r="BU51" i="12"/>
  <c r="BU52" i="12"/>
  <c r="BU53" i="12"/>
  <c r="BU54" i="12"/>
  <c r="BU55" i="12"/>
  <c r="BU56" i="12"/>
  <c r="BU57" i="12"/>
  <c r="BU58" i="12"/>
  <c r="BU59" i="12"/>
  <c r="BU60" i="12"/>
  <c r="BU61" i="12"/>
  <c r="BU62" i="12"/>
  <c r="BU63" i="12"/>
  <c r="BU64" i="12"/>
  <c r="BU30" i="12"/>
  <c r="BU31" i="12"/>
  <c r="BU32" i="12"/>
  <c r="BU33" i="12"/>
  <c r="BU34" i="12"/>
  <c r="BU35" i="12"/>
  <c r="BU36" i="12"/>
  <c r="BU37" i="12"/>
  <c r="BU38" i="12"/>
  <c r="BU39" i="12"/>
  <c r="BU40" i="12"/>
  <c r="BU41" i="12"/>
  <c r="AA14" i="19"/>
  <c r="AA12" i="19"/>
  <c r="AK10" i="11"/>
  <c r="BO16" i="3"/>
  <c r="BO10" i="3"/>
  <c r="BY16" i="1"/>
  <c r="BY10" i="1"/>
  <c r="CH16" i="2"/>
  <c r="CH10" i="2"/>
  <c r="BU9" i="12"/>
  <c r="BU10" i="12"/>
  <c r="BU11" i="12"/>
  <c r="BU12" i="12"/>
  <c r="BU13" i="12"/>
  <c r="BU14" i="12"/>
  <c r="BU15" i="12"/>
  <c r="BU16" i="12"/>
  <c r="BU17" i="12"/>
  <c r="BU18" i="12"/>
  <c r="BU19" i="12"/>
  <c r="BU20" i="12"/>
  <c r="U59" i="20"/>
  <c r="F76" i="12" l="1"/>
  <c r="F80" i="12"/>
  <c r="F82" i="12"/>
  <c r="F15" i="12"/>
  <c r="F9" i="12"/>
  <c r="U36" i="20" l="1"/>
  <c r="L145" i="20"/>
  <c r="U144" i="20"/>
  <c r="U143" i="20"/>
  <c r="U142" i="20"/>
  <c r="U141" i="20"/>
  <c r="L140" i="20"/>
  <c r="U139" i="20"/>
  <c r="U138" i="20"/>
  <c r="U137" i="20"/>
  <c r="L136" i="20"/>
  <c r="U135" i="20"/>
  <c r="U134" i="20"/>
  <c r="U133" i="20"/>
  <c r="L132" i="20"/>
  <c r="U131" i="20"/>
  <c r="U132" i="20" s="1"/>
  <c r="L114" i="20"/>
  <c r="U113" i="20"/>
  <c r="U112" i="20"/>
  <c r="U111" i="20"/>
  <c r="U110" i="20"/>
  <c r="L109" i="20"/>
  <c r="U108" i="20"/>
  <c r="U107" i="20"/>
  <c r="U106" i="20"/>
  <c r="L105" i="20"/>
  <c r="U104" i="20"/>
  <c r="U103" i="20"/>
  <c r="U102" i="20"/>
  <c r="U105" i="20" s="1"/>
  <c r="L101" i="20"/>
  <c r="U100" i="20"/>
  <c r="U101" i="20" s="1"/>
  <c r="U83" i="20"/>
  <c r="L83" i="20"/>
  <c r="U82" i="20"/>
  <c r="U81" i="20"/>
  <c r="U80" i="20"/>
  <c r="U79" i="20"/>
  <c r="L78" i="20"/>
  <c r="U77" i="20"/>
  <c r="U76" i="20"/>
  <c r="U75" i="20"/>
  <c r="L74" i="20"/>
  <c r="U73" i="20"/>
  <c r="U72" i="20"/>
  <c r="U71" i="20"/>
  <c r="L70" i="20"/>
  <c r="U69" i="20"/>
  <c r="U68" i="20"/>
  <c r="T51" i="20"/>
  <c r="S51" i="20"/>
  <c r="R51" i="20"/>
  <c r="Q51" i="20"/>
  <c r="P51" i="20"/>
  <c r="O51" i="20"/>
  <c r="N51" i="20"/>
  <c r="M51" i="20"/>
  <c r="L51" i="20"/>
  <c r="U50" i="20"/>
  <c r="U49" i="20"/>
  <c r="U48" i="20"/>
  <c r="U47" i="20"/>
  <c r="T46" i="20"/>
  <c r="S46" i="20"/>
  <c r="R46" i="20"/>
  <c r="Q46" i="20"/>
  <c r="P46" i="20"/>
  <c r="O46" i="20"/>
  <c r="N46" i="20"/>
  <c r="M46" i="20"/>
  <c r="L46" i="20"/>
  <c r="U45" i="20"/>
  <c r="U44" i="20"/>
  <c r="U43" i="20"/>
  <c r="T42" i="20"/>
  <c r="S42" i="20"/>
  <c r="R42" i="20"/>
  <c r="Q42" i="20"/>
  <c r="P42" i="20"/>
  <c r="O42" i="20"/>
  <c r="N42" i="20"/>
  <c r="M42" i="20"/>
  <c r="L42" i="20"/>
  <c r="U41" i="20"/>
  <c r="U40" i="20"/>
  <c r="U39" i="20"/>
  <c r="T38" i="20"/>
  <c r="S38" i="20"/>
  <c r="R38" i="20"/>
  <c r="Q38" i="20"/>
  <c r="P38" i="20"/>
  <c r="O38" i="20"/>
  <c r="N38" i="20"/>
  <c r="M38" i="20"/>
  <c r="L38" i="20"/>
  <c r="U37" i="20"/>
  <c r="T19" i="20"/>
  <c r="S19" i="20"/>
  <c r="R19" i="20"/>
  <c r="Q19" i="20"/>
  <c r="P19" i="20"/>
  <c r="O19" i="20"/>
  <c r="N19" i="20"/>
  <c r="M19" i="20"/>
  <c r="L19" i="20"/>
  <c r="U18" i="20"/>
  <c r="U17" i="20"/>
  <c r="U16" i="20"/>
  <c r="U15" i="20"/>
  <c r="T14" i="20"/>
  <c r="S14" i="20"/>
  <c r="R14" i="20"/>
  <c r="Q14" i="20"/>
  <c r="P14" i="20"/>
  <c r="O14" i="20"/>
  <c r="N14" i="20"/>
  <c r="M14" i="20"/>
  <c r="L14" i="20"/>
  <c r="U13" i="20"/>
  <c r="U12" i="20"/>
  <c r="U11" i="20"/>
  <c r="T10" i="20"/>
  <c r="S10" i="20"/>
  <c r="R10" i="20"/>
  <c r="Q10" i="20"/>
  <c r="P10" i="20"/>
  <c r="O10" i="20"/>
  <c r="N10" i="20"/>
  <c r="M10" i="20"/>
  <c r="L10" i="20"/>
  <c r="U9" i="20"/>
  <c r="U8" i="20"/>
  <c r="U7" i="20"/>
  <c r="T6" i="20"/>
  <c r="S6" i="20"/>
  <c r="R6" i="20"/>
  <c r="Q6" i="20"/>
  <c r="P6" i="20"/>
  <c r="O6" i="20"/>
  <c r="N6" i="20"/>
  <c r="M6" i="20"/>
  <c r="L6" i="20"/>
  <c r="U5" i="20"/>
  <c r="U6" i="20" s="1"/>
  <c r="S14" i="19"/>
  <c r="T14" i="19"/>
  <c r="U14" i="19"/>
  <c r="V14" i="19"/>
  <c r="W14" i="19"/>
  <c r="X14" i="19"/>
  <c r="Y14" i="19"/>
  <c r="Z14" i="19"/>
  <c r="S12" i="19"/>
  <c r="T12" i="19"/>
  <c r="U12" i="19"/>
  <c r="V12" i="19"/>
  <c r="W12" i="19"/>
  <c r="X12" i="19"/>
  <c r="Y12" i="19"/>
  <c r="Z12" i="19"/>
  <c r="R14" i="19"/>
  <c r="R12" i="19"/>
  <c r="AJ10" i="11"/>
  <c r="BN16" i="3"/>
  <c r="BN10" i="3"/>
  <c r="P14" i="15"/>
  <c r="P12" i="15"/>
  <c r="BX10" i="1"/>
  <c r="CG16" i="2"/>
  <c r="CG10" i="2"/>
  <c r="N14" i="16"/>
  <c r="N12" i="16"/>
  <c r="N10" i="16"/>
  <c r="U19" i="20" l="1"/>
  <c r="U114" i="20"/>
  <c r="U109" i="20"/>
  <c r="U51" i="20"/>
  <c r="U10" i="20"/>
  <c r="U14" i="20"/>
  <c r="U42" i="20"/>
  <c r="U46" i="20"/>
  <c r="U74" i="20"/>
  <c r="U78" i="20"/>
  <c r="U38" i="20"/>
  <c r="U70" i="20"/>
  <c r="U136" i="20"/>
  <c r="U140" i="20"/>
  <c r="U145" i="20"/>
  <c r="BT74" i="12"/>
  <c r="BT75" i="12"/>
  <c r="BT76" i="12"/>
  <c r="BT77" i="12"/>
  <c r="BT80" i="12"/>
  <c r="BT81" i="12"/>
  <c r="BT82" i="12"/>
  <c r="BT83" i="12"/>
  <c r="BT51" i="12"/>
  <c r="BT52" i="12"/>
  <c r="BT53" i="12"/>
  <c r="BT54" i="12"/>
  <c r="BT55" i="12"/>
  <c r="BT56" i="12"/>
  <c r="BT57" i="12"/>
  <c r="BT58" i="12"/>
  <c r="BT59" i="12"/>
  <c r="BT60" i="12"/>
  <c r="BT61" i="12"/>
  <c r="BT62" i="12"/>
  <c r="BT63" i="12"/>
  <c r="BT64" i="12"/>
  <c r="BT30" i="12"/>
  <c r="BT31" i="12"/>
  <c r="BT32" i="12"/>
  <c r="BT33" i="12"/>
  <c r="BT34" i="12"/>
  <c r="BT35" i="12"/>
  <c r="BT36" i="12"/>
  <c r="BT37" i="12"/>
  <c r="BT38" i="12"/>
  <c r="BT39" i="12"/>
  <c r="BT40" i="12"/>
  <c r="BT41" i="12"/>
  <c r="BT9" i="12"/>
  <c r="BT10" i="12"/>
  <c r="BT11" i="12"/>
  <c r="BT12" i="12"/>
  <c r="BT13" i="12"/>
  <c r="BT14" i="12"/>
  <c r="BT15" i="12"/>
  <c r="BT16" i="12"/>
  <c r="BT17" i="12"/>
  <c r="BT18" i="12"/>
  <c r="BT19" i="12"/>
  <c r="BT20" i="12"/>
  <c r="BS74" i="12" l="1"/>
  <c r="BS75" i="12"/>
  <c r="BS76" i="12"/>
  <c r="BS77" i="12"/>
  <c r="BS80" i="12"/>
  <c r="BS81" i="12"/>
  <c r="BS82" i="12"/>
  <c r="BS83" i="12"/>
  <c r="BS51" i="12"/>
  <c r="BS52" i="12"/>
  <c r="BS53" i="12"/>
  <c r="BS54" i="12"/>
  <c r="BS55" i="12"/>
  <c r="BS56" i="12"/>
  <c r="BS57" i="12"/>
  <c r="BS58" i="12"/>
  <c r="BS59" i="12"/>
  <c r="BS60" i="12"/>
  <c r="BS61" i="12"/>
  <c r="BS62" i="12"/>
  <c r="BS63" i="12"/>
  <c r="BS64" i="12"/>
  <c r="BS30" i="12"/>
  <c r="BS31" i="12"/>
  <c r="BS32" i="12"/>
  <c r="BS33" i="12"/>
  <c r="BS34" i="12"/>
  <c r="BS35" i="12"/>
  <c r="BS36" i="12"/>
  <c r="BS37" i="12"/>
  <c r="BS38" i="12"/>
  <c r="BS39" i="12"/>
  <c r="BS40" i="12"/>
  <c r="BS41" i="12"/>
  <c r="BS9" i="12"/>
  <c r="BS10" i="12"/>
  <c r="BS11" i="12"/>
  <c r="BS12" i="12"/>
  <c r="BS13" i="12"/>
  <c r="BS14" i="12"/>
  <c r="BS15" i="12"/>
  <c r="BS16" i="12"/>
  <c r="BS17" i="12"/>
  <c r="BS18" i="12"/>
  <c r="BS19" i="12"/>
  <c r="BS20" i="12"/>
  <c r="O16" i="15"/>
  <c r="P16" i="15"/>
  <c r="Q16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AD16" i="15"/>
  <c r="AE16" i="15"/>
  <c r="AF16" i="15"/>
  <c r="AG16" i="15"/>
  <c r="AH16" i="15"/>
  <c r="AI16" i="15"/>
  <c r="AJ16" i="15"/>
  <c r="AK16" i="15"/>
  <c r="AL16" i="15"/>
  <c r="AM16" i="15"/>
  <c r="AN16" i="15"/>
  <c r="AO16" i="15"/>
  <c r="AP16" i="15"/>
  <c r="AQ16" i="15"/>
  <c r="AR16" i="15"/>
  <c r="AS16" i="15"/>
  <c r="AT16" i="15"/>
  <c r="AU16" i="15"/>
  <c r="AV16" i="15"/>
  <c r="AW16" i="15"/>
  <c r="AX16" i="15"/>
  <c r="AY16" i="15"/>
  <c r="AZ16" i="15"/>
  <c r="BA16" i="15"/>
  <c r="BB16" i="15"/>
  <c r="BC16" i="15"/>
  <c r="BD16" i="15"/>
  <c r="BE16" i="15"/>
  <c r="BF16" i="15"/>
  <c r="BG16" i="15"/>
  <c r="BH16" i="15"/>
  <c r="BI16" i="15"/>
  <c r="BJ16" i="15"/>
  <c r="BK16" i="15"/>
  <c r="BL16" i="15"/>
  <c r="BM16" i="15"/>
  <c r="BN16" i="15"/>
  <c r="BO16" i="15"/>
  <c r="L10" i="16"/>
  <c r="M10" i="16"/>
  <c r="AI16" i="11"/>
  <c r="AI10" i="11"/>
  <c r="BM16" i="3"/>
  <c r="BM10" i="3"/>
  <c r="BW16" i="1"/>
  <c r="BW10" i="1"/>
  <c r="CF16" i="2"/>
  <c r="CF10" i="2"/>
  <c r="BR9" i="12" l="1"/>
  <c r="BR10" i="12"/>
  <c r="BR11" i="12"/>
  <c r="BR12" i="12"/>
  <c r="BR13" i="12"/>
  <c r="BR14" i="12"/>
  <c r="BR15" i="12"/>
  <c r="BR16" i="12"/>
  <c r="BR17" i="12"/>
  <c r="BR18" i="12"/>
  <c r="BR19" i="12"/>
  <c r="BR20" i="12"/>
  <c r="BR74" i="12"/>
  <c r="BR75" i="12"/>
  <c r="BR76" i="12"/>
  <c r="BR77" i="12"/>
  <c r="BR80" i="12"/>
  <c r="BR81" i="12"/>
  <c r="BR82" i="12"/>
  <c r="BR83" i="12"/>
  <c r="BR64" i="12"/>
  <c r="BR63" i="12"/>
  <c r="BR51" i="12"/>
  <c r="BR52" i="12"/>
  <c r="BR53" i="12"/>
  <c r="BR54" i="12"/>
  <c r="BR55" i="12"/>
  <c r="BR56" i="12"/>
  <c r="BR57" i="12"/>
  <c r="BR58" i="12"/>
  <c r="BR59" i="12"/>
  <c r="BR60" i="12"/>
  <c r="BR61" i="12"/>
  <c r="BR62" i="12"/>
  <c r="BR41" i="12"/>
  <c r="BR30" i="12"/>
  <c r="BR31" i="12"/>
  <c r="BR32" i="12"/>
  <c r="BR33" i="12"/>
  <c r="BR34" i="12"/>
  <c r="BR35" i="12"/>
  <c r="BR36" i="12"/>
  <c r="BR37" i="12"/>
  <c r="BR38" i="12"/>
  <c r="BR39" i="12"/>
  <c r="BR40" i="12"/>
  <c r="X10" i="19"/>
  <c r="Y10" i="19"/>
  <c r="Z10" i="19"/>
  <c r="AA10" i="19"/>
  <c r="AB10" i="19"/>
  <c r="AC10" i="19"/>
  <c r="AD10" i="19"/>
  <c r="AE10" i="19"/>
  <c r="AF10" i="19"/>
  <c r="AG10" i="19"/>
  <c r="AH10" i="19"/>
  <c r="AI10" i="19"/>
  <c r="AJ10" i="19"/>
  <c r="AK10" i="19"/>
  <c r="AL10" i="19"/>
  <c r="AM10" i="19"/>
  <c r="AN10" i="19"/>
  <c r="AO10" i="19"/>
  <c r="AP10" i="19"/>
  <c r="AQ10" i="19"/>
  <c r="AR10" i="19"/>
  <c r="AS10" i="19"/>
  <c r="AT10" i="19"/>
  <c r="AU10" i="19"/>
  <c r="AV10" i="19"/>
  <c r="AW10" i="19"/>
  <c r="AX10" i="19"/>
  <c r="AY10" i="19"/>
  <c r="AZ10" i="19"/>
  <c r="BA10" i="19"/>
  <c r="BB10" i="19"/>
  <c r="BC10" i="19"/>
  <c r="BD10" i="19"/>
  <c r="BE10" i="19"/>
  <c r="BF10" i="19"/>
  <c r="BG10" i="19"/>
  <c r="BH10" i="19"/>
  <c r="BI10" i="19"/>
  <c r="BJ10" i="19"/>
  <c r="BK10" i="19"/>
  <c r="AH16" i="11"/>
  <c r="AH10" i="11"/>
  <c r="BL10" i="3"/>
  <c r="N16" i="15"/>
  <c r="BV16" i="1"/>
  <c r="BV10" i="1"/>
  <c r="CE16" i="2"/>
  <c r="CE10" i="2"/>
  <c r="BU16" i="1" l="1"/>
  <c r="AG16" i="11"/>
  <c r="BQ83" i="12" s="1"/>
  <c r="AG14" i="11"/>
  <c r="AG12" i="11"/>
  <c r="BQ39" i="12" s="1"/>
  <c r="AG10" i="11"/>
  <c r="BK14" i="3"/>
  <c r="BQ58" i="12" s="1"/>
  <c r="BK12" i="3"/>
  <c r="BQ35" i="12" s="1"/>
  <c r="BK10" i="3"/>
  <c r="BQ18" i="12" s="1"/>
  <c r="CD14" i="2"/>
  <c r="BQ52" i="12" s="1"/>
  <c r="BU14" i="1"/>
  <c r="BQ54" i="12" s="1"/>
  <c r="BU12" i="1"/>
  <c r="BQ33" i="12" s="1"/>
  <c r="BU10" i="1"/>
  <c r="BQ14" i="12" s="1"/>
  <c r="CD12" i="2"/>
  <c r="BQ31" i="12" s="1"/>
  <c r="CD10" i="2"/>
  <c r="BQ12" i="12" s="1"/>
  <c r="BP74" i="12"/>
  <c r="BQ74" i="12"/>
  <c r="BP75" i="12"/>
  <c r="BQ75" i="12"/>
  <c r="BP76" i="12"/>
  <c r="BQ76" i="12"/>
  <c r="BQ77" i="12"/>
  <c r="BP80" i="12"/>
  <c r="BQ80" i="12"/>
  <c r="BP81" i="12"/>
  <c r="BQ81" i="12"/>
  <c r="BP82" i="12"/>
  <c r="BQ82" i="12"/>
  <c r="BP83" i="12"/>
  <c r="BP51" i="12"/>
  <c r="BQ51" i="12"/>
  <c r="BP52" i="12"/>
  <c r="BP53" i="12"/>
  <c r="BQ53" i="12"/>
  <c r="BP55" i="12"/>
  <c r="BQ55" i="12"/>
  <c r="BP56" i="12"/>
  <c r="BQ56" i="12"/>
  <c r="BP57" i="12"/>
  <c r="BQ57" i="12"/>
  <c r="BP58" i="12"/>
  <c r="BP59" i="12"/>
  <c r="BQ59" i="12"/>
  <c r="BP60" i="12"/>
  <c r="BQ60" i="12"/>
  <c r="BP61" i="12"/>
  <c r="BQ61" i="12"/>
  <c r="BP62" i="12"/>
  <c r="BQ62" i="12"/>
  <c r="BP63" i="12"/>
  <c r="BQ19" i="12"/>
  <c r="BP9" i="12"/>
  <c r="BQ9" i="12"/>
  <c r="BP10" i="12"/>
  <c r="BP11" i="12"/>
  <c r="BQ11" i="12"/>
  <c r="BP12" i="12"/>
  <c r="BP13" i="12"/>
  <c r="BQ13" i="12"/>
  <c r="BP15" i="12"/>
  <c r="BQ15" i="12"/>
  <c r="BP16" i="12"/>
  <c r="BQ16" i="12"/>
  <c r="BP17" i="12"/>
  <c r="BQ17" i="12"/>
  <c r="BP18" i="12"/>
  <c r="BP19" i="12"/>
  <c r="BP20" i="12"/>
  <c r="BQ20" i="12"/>
  <c r="BK38" i="12"/>
  <c r="BL38" i="12"/>
  <c r="BM38" i="12"/>
  <c r="BN38" i="12"/>
  <c r="BO38" i="12"/>
  <c r="BP38" i="12"/>
  <c r="BQ38" i="12"/>
  <c r="BK39" i="12"/>
  <c r="BL39" i="12"/>
  <c r="BM39" i="12"/>
  <c r="BN39" i="12"/>
  <c r="BO39" i="12"/>
  <c r="BP39" i="12"/>
  <c r="BJ39" i="12"/>
  <c r="BJ38" i="12"/>
  <c r="BK36" i="12"/>
  <c r="BL36" i="12"/>
  <c r="BM36" i="12"/>
  <c r="BN36" i="12"/>
  <c r="BO36" i="12"/>
  <c r="BP36" i="12"/>
  <c r="BQ36" i="12"/>
  <c r="BK37" i="12"/>
  <c r="BL37" i="12"/>
  <c r="BM37" i="12"/>
  <c r="BN37" i="12"/>
  <c r="BJ37" i="12"/>
  <c r="BJ36" i="12"/>
  <c r="BP30" i="12"/>
  <c r="BQ30" i="12"/>
  <c r="BP31" i="12"/>
  <c r="BP32" i="12"/>
  <c r="BQ32" i="12"/>
  <c r="BP34" i="12"/>
  <c r="BQ34" i="12"/>
  <c r="BP35" i="12"/>
  <c r="BP40" i="12"/>
  <c r="BQ40" i="12"/>
  <c r="BP41" i="12"/>
  <c r="BQ41" i="12"/>
  <c r="L12" i="15"/>
  <c r="BP37" i="12" s="1"/>
  <c r="BM61" i="12" l="1"/>
  <c r="BN61" i="12"/>
  <c r="BO61" i="12"/>
  <c r="BM62" i="12"/>
  <c r="BN62" i="12"/>
  <c r="BO62" i="12"/>
  <c r="BL62" i="12"/>
  <c r="BL61" i="12"/>
  <c r="BM40" i="12"/>
  <c r="BN40" i="12"/>
  <c r="BO40" i="12"/>
  <c r="BM41" i="12"/>
  <c r="BN41" i="12"/>
  <c r="BO41" i="12"/>
  <c r="BL41" i="12"/>
  <c r="BL40" i="12"/>
  <c r="F74" i="12"/>
  <c r="F53" i="12"/>
  <c r="F55" i="12"/>
  <c r="F57" i="12"/>
  <c r="F59" i="12"/>
  <c r="F61" i="12"/>
  <c r="F63" i="12"/>
  <c r="F51" i="12"/>
  <c r="F11" i="12"/>
  <c r="F13" i="12"/>
  <c r="F17" i="12"/>
  <c r="F19" i="12"/>
  <c r="F32" i="12"/>
  <c r="F34" i="12"/>
  <c r="F36" i="12"/>
  <c r="F38" i="12"/>
  <c r="F40" i="12"/>
  <c r="F30" i="12"/>
  <c r="BI62" i="12"/>
  <c r="BH62" i="12"/>
  <c r="BG62" i="12"/>
  <c r="BF62" i="12"/>
  <c r="BE62" i="12"/>
  <c r="BD62" i="12"/>
  <c r="BC62" i="12"/>
  <c r="BB62" i="12"/>
  <c r="BA62" i="12"/>
  <c r="AZ62" i="12"/>
  <c r="AY62" i="12"/>
  <c r="AX62" i="12"/>
  <c r="AW62" i="12"/>
  <c r="AV62" i="12"/>
  <c r="AU62" i="12"/>
  <c r="AT62" i="12"/>
  <c r="AS62" i="12"/>
  <c r="AR62" i="12"/>
  <c r="AQ62" i="12"/>
  <c r="AP62" i="12"/>
  <c r="AO62" i="12"/>
  <c r="AN62" i="12"/>
  <c r="AM62" i="12"/>
  <c r="AL62" i="12"/>
  <c r="AK62" i="12"/>
  <c r="AJ62" i="12"/>
  <c r="AI62" i="12"/>
  <c r="AH62" i="12"/>
  <c r="AG62" i="12"/>
  <c r="AF62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BI61" i="12"/>
  <c r="BH61" i="12"/>
  <c r="BG61" i="12"/>
  <c r="BF61" i="12"/>
  <c r="BE61" i="12"/>
  <c r="BD61" i="12"/>
  <c r="BC61" i="12"/>
  <c r="BB61" i="12"/>
  <c r="BA61" i="12"/>
  <c r="AZ61" i="12"/>
  <c r="AY61" i="12"/>
  <c r="AX61" i="12"/>
  <c r="AW61" i="12"/>
  <c r="AV61" i="12"/>
  <c r="AU61" i="12"/>
  <c r="AT61" i="12"/>
  <c r="AS61" i="12"/>
  <c r="AR61" i="12"/>
  <c r="AQ61" i="12"/>
  <c r="AP61" i="12"/>
  <c r="AO61" i="12"/>
  <c r="BI41" i="12"/>
  <c r="BH41" i="12"/>
  <c r="BG41" i="12"/>
  <c r="BF41" i="12"/>
  <c r="BE41" i="12"/>
  <c r="BD41" i="12"/>
  <c r="BC41" i="12"/>
  <c r="BB41" i="12"/>
  <c r="BA41" i="12"/>
  <c r="AZ41" i="12"/>
  <c r="AY41" i="12"/>
  <c r="AX41" i="12"/>
  <c r="AW41" i="12"/>
  <c r="AV41" i="12"/>
  <c r="AU41" i="12"/>
  <c r="AT41" i="12"/>
  <c r="AS41" i="12"/>
  <c r="AR41" i="12"/>
  <c r="AQ41" i="12"/>
  <c r="AP41" i="12"/>
  <c r="AO41" i="12"/>
  <c r="AN41" i="12"/>
  <c r="AM41" i="12"/>
  <c r="AL41" i="12"/>
  <c r="AK41" i="12"/>
  <c r="AJ41" i="12"/>
  <c r="AI41" i="12"/>
  <c r="AH41" i="12"/>
  <c r="AG41" i="12"/>
  <c r="AF41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BI40" i="12"/>
  <c r="BH40" i="12"/>
  <c r="BG40" i="12"/>
  <c r="BF40" i="12"/>
  <c r="BE40" i="12"/>
  <c r="BD40" i="12"/>
  <c r="BC40" i="12"/>
  <c r="BB40" i="12"/>
  <c r="BA40" i="12"/>
  <c r="AZ40" i="12"/>
  <c r="AY40" i="12"/>
  <c r="AX40" i="12"/>
  <c r="AW40" i="12"/>
  <c r="AV40" i="12"/>
  <c r="AU40" i="12"/>
  <c r="AT40" i="12"/>
  <c r="AS40" i="12"/>
  <c r="AR40" i="12"/>
  <c r="AQ40" i="12"/>
  <c r="AP40" i="12"/>
  <c r="AO40" i="12"/>
  <c r="BK35" i="12" l="1"/>
  <c r="BL35" i="12"/>
  <c r="BM35" i="12"/>
  <c r="BN35" i="12"/>
  <c r="BO35" i="12"/>
  <c r="BJ35" i="12"/>
  <c r="BK31" i="12"/>
  <c r="BL31" i="12"/>
  <c r="BM31" i="12"/>
  <c r="BN31" i="12"/>
  <c r="BO31" i="12"/>
  <c r="BJ31" i="12"/>
  <c r="BK20" i="12"/>
  <c r="BL20" i="12"/>
  <c r="BM20" i="12"/>
  <c r="BN20" i="12"/>
  <c r="BO20" i="12"/>
  <c r="BJ20" i="12"/>
  <c r="BK18" i="12"/>
  <c r="BL18" i="12"/>
  <c r="BM18" i="12"/>
  <c r="BN18" i="12"/>
  <c r="BO18" i="12"/>
  <c r="BJ18" i="12"/>
  <c r="BK16" i="12"/>
  <c r="BL16" i="12"/>
  <c r="BM16" i="12"/>
  <c r="BN16" i="12"/>
  <c r="BO16" i="12"/>
  <c r="BJ16" i="12"/>
  <c r="BK12" i="12"/>
  <c r="BL12" i="12"/>
  <c r="BM12" i="12"/>
  <c r="BN12" i="12"/>
  <c r="BO12" i="12"/>
  <c r="BJ12" i="12"/>
  <c r="BK10" i="12"/>
  <c r="BL10" i="12"/>
  <c r="BM10" i="12"/>
  <c r="BN10" i="12"/>
  <c r="BO10" i="12"/>
  <c r="BJ10" i="12"/>
  <c r="BO9" i="12"/>
  <c r="BO11" i="12"/>
  <c r="BO13" i="12"/>
  <c r="BO15" i="12"/>
  <c r="BO17" i="12"/>
  <c r="BO19" i="12"/>
  <c r="BO30" i="12"/>
  <c r="BO32" i="12"/>
  <c r="BO34" i="12"/>
  <c r="BO51" i="12"/>
  <c r="BO52" i="12"/>
  <c r="BO53" i="12"/>
  <c r="BO55" i="12"/>
  <c r="BO56" i="12"/>
  <c r="BO57" i="12"/>
  <c r="BO58" i="12"/>
  <c r="BO59" i="12"/>
  <c r="BO60" i="12"/>
  <c r="BO63" i="12"/>
  <c r="BN74" i="12"/>
  <c r="BO74" i="12"/>
  <c r="BN75" i="12"/>
  <c r="BO75" i="12"/>
  <c r="BN76" i="12"/>
  <c r="BO76" i="12"/>
  <c r="BO77" i="12"/>
  <c r="BN80" i="12"/>
  <c r="BO80" i="12"/>
  <c r="BN81" i="12"/>
  <c r="BO81" i="12"/>
  <c r="BN82" i="12"/>
  <c r="BO82" i="12"/>
  <c r="BN83" i="12"/>
  <c r="BO83" i="12"/>
  <c r="W10" i="19"/>
  <c r="AE16" i="11"/>
  <c r="AE14" i="11"/>
  <c r="AE12" i="11"/>
  <c r="AE10" i="11"/>
  <c r="BI16" i="3"/>
  <c r="BS16" i="1"/>
  <c r="BS10" i="1"/>
  <c r="BO14" i="12" s="1"/>
  <c r="CB16" i="2"/>
  <c r="R10" i="19"/>
  <c r="Z7" i="11" l="1"/>
  <c r="AA7" i="11" s="1"/>
  <c r="AB7" i="11" s="1"/>
  <c r="AC7" i="11" s="1"/>
  <c r="AD7" i="11" s="1"/>
  <c r="AE7" i="11" s="1"/>
  <c r="AF7" i="11" s="1"/>
  <c r="AG7" i="11" s="1"/>
  <c r="AH7" i="11" s="1"/>
  <c r="AI7" i="11" s="1"/>
  <c r="AJ7" i="11" s="1"/>
  <c r="AK7" i="11" s="1"/>
  <c r="AL7" i="11" s="1"/>
  <c r="AM7" i="11" s="1"/>
  <c r="AN7" i="11" s="1"/>
  <c r="AO7" i="11" s="1"/>
  <c r="AP7" i="11" s="1"/>
  <c r="AQ7" i="11" s="1"/>
  <c r="AR7" i="11" s="1"/>
  <c r="AS7" i="11" s="1"/>
  <c r="Z7" i="19"/>
  <c r="AA7" i="19" s="1"/>
  <c r="AB7" i="19" s="1"/>
  <c r="AC7" i="19" s="1"/>
  <c r="AD7" i="19" s="1"/>
  <c r="AE7" i="19" s="1"/>
  <c r="AF7" i="19" s="1"/>
  <c r="AG7" i="19" s="1"/>
  <c r="AH7" i="19" s="1"/>
  <c r="AI7" i="19" s="1"/>
  <c r="AJ7" i="19" s="1"/>
  <c r="AK7" i="19" s="1"/>
  <c r="AL7" i="19" s="1"/>
  <c r="AM7" i="19" s="1"/>
  <c r="AN7" i="19" s="1"/>
  <c r="AO7" i="19" s="1"/>
  <c r="AP7" i="19" s="1"/>
  <c r="AQ7" i="19" s="1"/>
  <c r="AR7" i="19" s="1"/>
  <c r="AS7" i="19" s="1"/>
  <c r="BL16" i="19"/>
  <c r="BK16" i="19"/>
  <c r="BJ16" i="19"/>
  <c r="BI16" i="19"/>
  <c r="BH16" i="19"/>
  <c r="BG16" i="19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BL14" i="19"/>
  <c r="BK14" i="19"/>
  <c r="BJ14" i="19"/>
  <c r="BI14" i="19"/>
  <c r="BH14" i="19"/>
  <c r="BG14" i="19"/>
  <c r="BF14" i="19"/>
  <c r="BE14" i="19"/>
  <c r="BD14" i="19"/>
  <c r="BC14" i="19"/>
  <c r="BB14" i="19"/>
  <c r="BA14" i="19"/>
  <c r="AZ14" i="19"/>
  <c r="AY14" i="19"/>
  <c r="AX14" i="19"/>
  <c r="AW14" i="19"/>
  <c r="AV14" i="19"/>
  <c r="AU14" i="19"/>
  <c r="AT14" i="19"/>
  <c r="AS14" i="19"/>
  <c r="AR14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E14" i="19"/>
  <c r="AD14" i="19"/>
  <c r="AC14" i="19"/>
  <c r="AB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F12" i="19"/>
  <c r="AE12" i="19"/>
  <c r="AD12" i="19"/>
  <c r="AC12" i="19"/>
  <c r="AB12" i="19"/>
  <c r="V10" i="19"/>
  <c r="U10" i="19"/>
  <c r="T10" i="19"/>
  <c r="S10" i="19"/>
  <c r="G7" i="19"/>
  <c r="H7" i="19" s="1"/>
  <c r="I7" i="19" s="1"/>
  <c r="J7" i="19" s="1"/>
  <c r="K7" i="19" s="1"/>
  <c r="L7" i="19" s="1"/>
  <c r="M7" i="19" s="1"/>
  <c r="N7" i="19" s="1"/>
  <c r="O7" i="19" s="1"/>
  <c r="P7" i="19" s="1"/>
  <c r="Q7" i="19" s="1"/>
  <c r="R7" i="19" s="1"/>
  <c r="S7" i="19" s="1"/>
  <c r="T7" i="19" s="1"/>
  <c r="U7" i="19" s="1"/>
  <c r="V7" i="19" s="1"/>
  <c r="W7" i="19" s="1"/>
  <c r="X7" i="19" s="1"/>
  <c r="Y7" i="19" s="1"/>
  <c r="AT7" i="19" s="1"/>
  <c r="AU7" i="19" s="1"/>
  <c r="AV7" i="19" s="1"/>
  <c r="AW7" i="19" s="1"/>
  <c r="AX7" i="19" s="1"/>
  <c r="AY7" i="19" s="1"/>
  <c r="AZ7" i="19" s="1"/>
  <c r="BA7" i="19" s="1"/>
  <c r="BB7" i="19" s="1"/>
  <c r="BC7" i="19" s="1"/>
  <c r="BD7" i="19" s="1"/>
  <c r="BE7" i="19" s="1"/>
  <c r="BF7" i="19" s="1"/>
  <c r="BG7" i="19" s="1"/>
  <c r="BH7" i="19" s="1"/>
  <c r="BI7" i="19" s="1"/>
  <c r="BJ7" i="19" s="1"/>
  <c r="BK7" i="19" s="1"/>
  <c r="AD16" i="11"/>
  <c r="BH16" i="3"/>
  <c r="CA16" i="2"/>
  <c r="BR16" i="1"/>
  <c r="BN77" i="12" s="1"/>
  <c r="BN51" i="12"/>
  <c r="BN52" i="12"/>
  <c r="BN53" i="12"/>
  <c r="BN55" i="12"/>
  <c r="BN56" i="12"/>
  <c r="BN57" i="12"/>
  <c r="BN58" i="12"/>
  <c r="BN59" i="12"/>
  <c r="BN60" i="12"/>
  <c r="BN63" i="12"/>
  <c r="BN30" i="12"/>
  <c r="BN32" i="12"/>
  <c r="BN34" i="12"/>
  <c r="BN9" i="12"/>
  <c r="BN11" i="12"/>
  <c r="BN13" i="12"/>
  <c r="BN15" i="12"/>
  <c r="BN17" i="12"/>
  <c r="BN19" i="12"/>
  <c r="AD10" i="11"/>
  <c r="BJ16" i="3"/>
  <c r="BK16" i="3"/>
  <c r="BL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BG16" i="3"/>
  <c r="BH14" i="3"/>
  <c r="BI14" i="3"/>
  <c r="BJ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BH12" i="3"/>
  <c r="BI12" i="3"/>
  <c r="BJ12" i="3"/>
  <c r="BL12" i="3"/>
  <c r="BM12" i="3"/>
  <c r="BN12" i="3"/>
  <c r="BO12" i="3"/>
  <c r="BP12" i="3"/>
  <c r="BQ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BH10" i="3"/>
  <c r="BI10" i="3"/>
  <c r="BJ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BQ16" i="1"/>
  <c r="BT16" i="1"/>
  <c r="BP77" i="12" s="1"/>
  <c r="BX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BR14" i="1"/>
  <c r="BN54" i="12" s="1"/>
  <c r="BS14" i="1"/>
  <c r="BO54" i="12" s="1"/>
  <c r="BT14" i="1"/>
  <c r="BP54" i="12" s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BR12" i="1"/>
  <c r="BN33" i="12" s="1"/>
  <c r="BS12" i="1"/>
  <c r="BO33" i="12" s="1"/>
  <c r="BT12" i="1"/>
  <c r="BP33" i="12" s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BR10" i="1"/>
  <c r="BN14" i="12" s="1"/>
  <c r="BT10" i="1"/>
  <c r="BP14" i="12" s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C16" i="2"/>
  <c r="CD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BZ16" i="2"/>
  <c r="CA10" i="2"/>
  <c r="CB10" i="2"/>
  <c r="CC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BM74" i="12" l="1"/>
  <c r="BM75" i="12"/>
  <c r="BM76" i="12"/>
  <c r="BM77" i="12"/>
  <c r="BM80" i="12"/>
  <c r="BM81" i="12"/>
  <c r="BM82" i="12"/>
  <c r="BM83" i="12"/>
  <c r="BM51" i="12"/>
  <c r="BM52" i="12"/>
  <c r="BM53" i="12"/>
  <c r="BM54" i="12"/>
  <c r="BM57" i="12"/>
  <c r="BM58" i="12"/>
  <c r="BM59" i="12"/>
  <c r="BM60" i="12"/>
  <c r="BM63" i="12"/>
  <c r="BM30" i="12"/>
  <c r="BM32" i="12"/>
  <c r="BM34" i="12"/>
  <c r="BM9" i="12"/>
  <c r="BM11" i="12"/>
  <c r="BM13" i="12"/>
  <c r="BM15" i="12"/>
  <c r="BM17" i="12"/>
  <c r="BM19" i="12"/>
  <c r="CG10" i="8"/>
  <c r="CF10" i="8"/>
  <c r="CE10" i="8"/>
  <c r="CD10" i="8"/>
  <c r="CC10" i="8"/>
  <c r="CB10" i="8"/>
  <c r="CA10" i="8"/>
  <c r="BZ10" i="8"/>
  <c r="BY10" i="8"/>
  <c r="BX10" i="8"/>
  <c r="BW10" i="8"/>
  <c r="BV10" i="8"/>
  <c r="BU10" i="8"/>
  <c r="BT10" i="8"/>
  <c r="BS10" i="8"/>
  <c r="BR10" i="8"/>
  <c r="BQ10" i="8"/>
  <c r="BP10" i="8"/>
  <c r="BO10" i="8"/>
  <c r="BN10" i="8"/>
  <c r="BM10" i="8"/>
  <c r="BL10" i="8"/>
  <c r="BK10" i="8"/>
  <c r="BJ10" i="8"/>
  <c r="BI10" i="8"/>
  <c r="BH10" i="8"/>
  <c r="BG10" i="8"/>
  <c r="BF10" i="8"/>
  <c r="BE10" i="8"/>
  <c r="BD10" i="8"/>
  <c r="BC10" i="8"/>
  <c r="BB10" i="8"/>
  <c r="BA10" i="8"/>
  <c r="AZ10" i="8"/>
  <c r="AY10" i="8"/>
  <c r="AX10" i="8"/>
  <c r="AW10" i="8"/>
  <c r="AV10" i="8"/>
  <c r="BP64" i="12" s="1"/>
  <c r="AU10" i="8"/>
  <c r="BO64" i="12" s="1"/>
  <c r="AT10" i="8"/>
  <c r="BN64" i="12" s="1"/>
  <c r="AD14" i="11"/>
  <c r="AF14" i="11"/>
  <c r="AH14" i="11"/>
  <c r="AI14" i="11"/>
  <c r="AJ14" i="11"/>
  <c r="AK14" i="11"/>
  <c r="AL14" i="11"/>
  <c r="AM14" i="11"/>
  <c r="AN14" i="11"/>
  <c r="AO14" i="11"/>
  <c r="AP14" i="11"/>
  <c r="AQ14" i="11"/>
  <c r="AR14" i="11"/>
  <c r="AS14" i="11"/>
  <c r="AF16" i="11"/>
  <c r="AJ16" i="11"/>
  <c r="AK16" i="11"/>
  <c r="AL16" i="11"/>
  <c r="AM16" i="11"/>
  <c r="AN16" i="11"/>
  <c r="AO16" i="11"/>
  <c r="AP16" i="11"/>
  <c r="AQ16" i="11"/>
  <c r="AR16" i="11"/>
  <c r="AS16" i="11"/>
  <c r="AC16" i="11"/>
  <c r="AC14" i="11"/>
  <c r="AC12" i="11"/>
  <c r="AC10" i="11"/>
  <c r="AD12" i="11"/>
  <c r="AF12" i="11"/>
  <c r="AH12" i="11"/>
  <c r="AI12" i="11"/>
  <c r="AJ12" i="11"/>
  <c r="AK12" i="11"/>
  <c r="AL12" i="11"/>
  <c r="AM12" i="11"/>
  <c r="AN12" i="11"/>
  <c r="AO12" i="11"/>
  <c r="AP12" i="11"/>
  <c r="AQ12" i="11"/>
  <c r="AR12" i="11"/>
  <c r="AS12" i="11"/>
  <c r="AF10" i="11"/>
  <c r="AL10" i="11"/>
  <c r="AM10" i="11"/>
  <c r="AN10" i="11"/>
  <c r="AO10" i="11"/>
  <c r="AP10" i="11"/>
  <c r="AQ10" i="11"/>
  <c r="AR10" i="11"/>
  <c r="AS10" i="11"/>
  <c r="BG12" i="3"/>
  <c r="BG14" i="3"/>
  <c r="BG10" i="3"/>
  <c r="BQ14" i="1"/>
  <c r="BQ12" i="1"/>
  <c r="BM33" i="12" s="1"/>
  <c r="BQ10" i="1"/>
  <c r="BM14" i="12" s="1"/>
  <c r="BZ10" i="2"/>
  <c r="BH82" i="12" l="1"/>
  <c r="BI82" i="12"/>
  <c r="BJ82" i="12"/>
  <c r="BK82" i="12"/>
  <c r="BL82" i="12"/>
  <c r="BH83" i="12"/>
  <c r="BI83" i="12"/>
  <c r="BJ83" i="12"/>
  <c r="BK83" i="12"/>
  <c r="BL83" i="12"/>
  <c r="BG83" i="12"/>
  <c r="BG82" i="12"/>
  <c r="BG74" i="12"/>
  <c r="BH74" i="12"/>
  <c r="BI74" i="12"/>
  <c r="BJ74" i="12"/>
  <c r="BK74" i="12"/>
  <c r="BL74" i="12"/>
  <c r="BG75" i="12"/>
  <c r="BH75" i="12"/>
  <c r="BI75" i="12"/>
  <c r="BJ75" i="12"/>
  <c r="BK75" i="12"/>
  <c r="BL75" i="12"/>
  <c r="BG76" i="12"/>
  <c r="BH76" i="12"/>
  <c r="BI76" i="12"/>
  <c r="BJ76" i="12"/>
  <c r="BK76" i="12"/>
  <c r="BL76" i="12"/>
  <c r="BG80" i="12"/>
  <c r="BH80" i="12"/>
  <c r="BI80" i="12"/>
  <c r="BJ80" i="12"/>
  <c r="BK80" i="12"/>
  <c r="BL80" i="12"/>
  <c r="BG81" i="12"/>
  <c r="BH81" i="12"/>
  <c r="BI81" i="12"/>
  <c r="BJ81" i="12"/>
  <c r="BK81" i="12"/>
  <c r="BL81" i="12"/>
  <c r="BG57" i="12"/>
  <c r="BH57" i="12"/>
  <c r="BI57" i="12"/>
  <c r="BJ57" i="12"/>
  <c r="BK57" i="12"/>
  <c r="BL57" i="12"/>
  <c r="BG58" i="12"/>
  <c r="BH58" i="12"/>
  <c r="BI58" i="12"/>
  <c r="BJ58" i="12"/>
  <c r="BK58" i="12"/>
  <c r="BL58" i="12"/>
  <c r="BG59" i="12"/>
  <c r="BH59" i="12"/>
  <c r="BI59" i="12"/>
  <c r="BJ59" i="12"/>
  <c r="BK59" i="12"/>
  <c r="BL59" i="12"/>
  <c r="BG60" i="12"/>
  <c r="BH60" i="12"/>
  <c r="BI60" i="12"/>
  <c r="BJ60" i="12"/>
  <c r="BK60" i="12"/>
  <c r="BL60" i="12"/>
  <c r="BG63" i="12"/>
  <c r="BH63" i="12"/>
  <c r="BI63" i="12"/>
  <c r="BJ63" i="12"/>
  <c r="BK63" i="12"/>
  <c r="BL63" i="12"/>
  <c r="BG51" i="12"/>
  <c r="BH51" i="12"/>
  <c r="BI51" i="12"/>
  <c r="BJ51" i="12"/>
  <c r="BK51" i="12"/>
  <c r="BL51" i="12"/>
  <c r="BG52" i="12"/>
  <c r="BH52" i="12"/>
  <c r="BI52" i="12"/>
  <c r="BJ52" i="12"/>
  <c r="BK52" i="12"/>
  <c r="BL52" i="12"/>
  <c r="BG53" i="12"/>
  <c r="BH53" i="12"/>
  <c r="BI53" i="12"/>
  <c r="BJ53" i="12"/>
  <c r="BK53" i="12"/>
  <c r="BL53" i="12"/>
  <c r="BL54" i="12"/>
  <c r="BE56" i="12"/>
  <c r="BD56" i="12"/>
  <c r="BC56" i="12"/>
  <c r="BB56" i="12"/>
  <c r="BA56" i="12"/>
  <c r="AZ56" i="12"/>
  <c r="AY56" i="12"/>
  <c r="AX56" i="12"/>
  <c r="AW56" i="12"/>
  <c r="AV56" i="12"/>
  <c r="AU56" i="12"/>
  <c r="AT56" i="12"/>
  <c r="AS56" i="12"/>
  <c r="AR56" i="12"/>
  <c r="AQ56" i="12"/>
  <c r="AP56" i="12"/>
  <c r="AN56" i="12"/>
  <c r="AM56" i="12"/>
  <c r="AL56" i="12"/>
  <c r="AK56" i="12"/>
  <c r="AJ56" i="12"/>
  <c r="AI56" i="12"/>
  <c r="AH56" i="12"/>
  <c r="AG56" i="12"/>
  <c r="AF56" i="12"/>
  <c r="AE56" i="12"/>
  <c r="AD56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BE55" i="12"/>
  <c r="BD55" i="12"/>
  <c r="BC55" i="12"/>
  <c r="BB55" i="12"/>
  <c r="BA55" i="12"/>
  <c r="AZ55" i="12"/>
  <c r="AY55" i="12"/>
  <c r="AX55" i="12"/>
  <c r="AW55" i="12"/>
  <c r="AV55" i="12"/>
  <c r="AU55" i="12"/>
  <c r="AT55" i="12"/>
  <c r="AS55" i="12"/>
  <c r="AR55" i="12"/>
  <c r="AQ55" i="12"/>
  <c r="AP55" i="12"/>
  <c r="BK15" i="12"/>
  <c r="BL15" i="12"/>
  <c r="BJ15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BE15" i="12"/>
  <c r="BD15" i="12"/>
  <c r="BC15" i="12"/>
  <c r="BB15" i="12"/>
  <c r="BA15" i="12"/>
  <c r="AZ15" i="12"/>
  <c r="AY15" i="12"/>
  <c r="AX15" i="12"/>
  <c r="AW15" i="12"/>
  <c r="AV15" i="12"/>
  <c r="AU15" i="12"/>
  <c r="AT15" i="12"/>
  <c r="AS15" i="12"/>
  <c r="AR15" i="12"/>
  <c r="AQ15" i="12"/>
  <c r="AP15" i="12"/>
  <c r="AO15" i="12"/>
  <c r="BG30" i="12"/>
  <c r="BH30" i="12"/>
  <c r="BI30" i="12"/>
  <c r="BJ30" i="12"/>
  <c r="BK30" i="12"/>
  <c r="BL30" i="12"/>
  <c r="BG31" i="12"/>
  <c r="BH31" i="12"/>
  <c r="BI31" i="12"/>
  <c r="BG32" i="12"/>
  <c r="BH32" i="12"/>
  <c r="BI32" i="12"/>
  <c r="BJ32" i="12"/>
  <c r="BK32" i="12"/>
  <c r="BL32" i="12"/>
  <c r="BH33" i="12"/>
  <c r="BG34" i="12"/>
  <c r="BH34" i="12"/>
  <c r="BI34" i="12"/>
  <c r="BJ34" i="12"/>
  <c r="BK34" i="12"/>
  <c r="BL34" i="12"/>
  <c r="BG35" i="12"/>
  <c r="BH35" i="12"/>
  <c r="BI35" i="12"/>
  <c r="BG20" i="12"/>
  <c r="BH20" i="12"/>
  <c r="BI20" i="12"/>
  <c r="BF18" i="12"/>
  <c r="BG18" i="12"/>
  <c r="BH18" i="12"/>
  <c r="BI18" i="12"/>
  <c r="BH14" i="12"/>
  <c r="BF12" i="12"/>
  <c r="BG12" i="12"/>
  <c r="BH12" i="12"/>
  <c r="BI12" i="12"/>
  <c r="BH19" i="12"/>
  <c r="BI19" i="12"/>
  <c r="BJ19" i="12"/>
  <c r="BK19" i="12"/>
  <c r="BL19" i="12"/>
  <c r="BG19" i="12"/>
  <c r="BH17" i="12"/>
  <c r="BI17" i="12"/>
  <c r="BJ17" i="12"/>
  <c r="BK17" i="12"/>
  <c r="BL17" i="12"/>
  <c r="BG17" i="12"/>
  <c r="BH13" i="12"/>
  <c r="BI13" i="12"/>
  <c r="BJ13" i="12"/>
  <c r="BK13" i="12"/>
  <c r="BL13" i="12"/>
  <c r="BG13" i="12"/>
  <c r="BH11" i="12"/>
  <c r="BI11" i="12"/>
  <c r="BJ11" i="12"/>
  <c r="BK11" i="12"/>
  <c r="BL11" i="12"/>
  <c r="BG11" i="12"/>
  <c r="BE39" i="12"/>
  <c r="BD39" i="12"/>
  <c r="BC39" i="12"/>
  <c r="BB39" i="12"/>
  <c r="BA39" i="12"/>
  <c r="AZ39" i="12"/>
  <c r="AY39" i="12"/>
  <c r="AX39" i="12"/>
  <c r="AW39" i="12"/>
  <c r="AV39" i="12"/>
  <c r="AU39" i="12"/>
  <c r="AT39" i="12"/>
  <c r="AS39" i="12"/>
  <c r="AR39" i="12"/>
  <c r="AQ39" i="12"/>
  <c r="AP39" i="12"/>
  <c r="AO39" i="12"/>
  <c r="AN39" i="12"/>
  <c r="AM39" i="12"/>
  <c r="AL39" i="12"/>
  <c r="AK39" i="12"/>
  <c r="AJ39" i="12"/>
  <c r="AI39" i="12"/>
  <c r="AH39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BE38" i="12"/>
  <c r="BD38" i="12"/>
  <c r="BC38" i="12"/>
  <c r="BB38" i="12"/>
  <c r="BA38" i="12"/>
  <c r="AZ38" i="12"/>
  <c r="AY38" i="12"/>
  <c r="AX38" i="12"/>
  <c r="AW38" i="12"/>
  <c r="AV38" i="12"/>
  <c r="AU38" i="12"/>
  <c r="AT38" i="12"/>
  <c r="AS38" i="12"/>
  <c r="AR38" i="12"/>
  <c r="AQ38" i="12"/>
  <c r="AP38" i="12"/>
  <c r="AO38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BF19" i="12"/>
  <c r="BE19" i="12"/>
  <c r="BD19" i="12"/>
  <c r="BC19" i="12"/>
  <c r="BB19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T16" i="11"/>
  <c r="U16" i="11"/>
  <c r="V16" i="11"/>
  <c r="W16" i="11"/>
  <c r="X16" i="11"/>
  <c r="Y16" i="11"/>
  <c r="Z16" i="11"/>
  <c r="AA16" i="11"/>
  <c r="AB16" i="11"/>
  <c r="S16" i="11"/>
  <c r="T14" i="11"/>
  <c r="U14" i="11"/>
  <c r="V14" i="11"/>
  <c r="W14" i="11"/>
  <c r="X14" i="11"/>
  <c r="Y14" i="11"/>
  <c r="Z14" i="11"/>
  <c r="AA14" i="11"/>
  <c r="AB14" i="11"/>
  <c r="S14" i="11"/>
  <c r="T10" i="11"/>
  <c r="U10" i="11"/>
  <c r="V10" i="11"/>
  <c r="W10" i="11"/>
  <c r="X10" i="11"/>
  <c r="Y10" i="11"/>
  <c r="Z10" i="11"/>
  <c r="AA10" i="11"/>
  <c r="AB10" i="11"/>
  <c r="T12" i="11"/>
  <c r="U12" i="11"/>
  <c r="V12" i="11"/>
  <c r="W12" i="11"/>
  <c r="X12" i="11"/>
  <c r="Y12" i="11"/>
  <c r="Z12" i="11"/>
  <c r="AA12" i="11"/>
  <c r="AB12" i="11"/>
  <c r="S12" i="11"/>
  <c r="S10" i="11"/>
  <c r="BU16" i="2"/>
  <c r="BV16" i="2"/>
  <c r="BW16" i="2"/>
  <c r="BX16" i="2"/>
  <c r="BY16" i="2"/>
  <c r="BB16" i="3"/>
  <c r="BC16" i="3"/>
  <c r="BD16" i="3"/>
  <c r="BE16" i="3"/>
  <c r="BF16" i="3"/>
  <c r="BB14" i="3"/>
  <c r="BC14" i="3"/>
  <c r="BD14" i="3"/>
  <c r="BE14" i="3"/>
  <c r="BF14" i="3"/>
  <c r="BB12" i="3"/>
  <c r="BC12" i="3"/>
  <c r="BD12" i="3"/>
  <c r="BE12" i="3"/>
  <c r="BF12" i="3"/>
  <c r="BB10" i="3"/>
  <c r="BC10" i="3"/>
  <c r="BD10" i="3"/>
  <c r="BE10" i="3"/>
  <c r="BF10" i="3"/>
  <c r="BI7" i="3"/>
  <c r="BJ7" i="3" s="1"/>
  <c r="BK7" i="3" s="1"/>
  <c r="BL7" i="3" s="1"/>
  <c r="BM7" i="3" s="1"/>
  <c r="BN7" i="3" s="1"/>
  <c r="BO7" i="3" s="1"/>
  <c r="BP7" i="3" s="1"/>
  <c r="BQ7" i="3" s="1"/>
  <c r="BR7" i="3" s="1"/>
  <c r="BS7" i="3" s="1"/>
  <c r="BT7" i="3" s="1"/>
  <c r="BU7" i="3" s="1"/>
  <c r="BV7" i="3" s="1"/>
  <c r="BW7" i="3" s="1"/>
  <c r="BX7" i="3" s="1"/>
  <c r="BY7" i="3" s="1"/>
  <c r="BZ7" i="3" s="1"/>
  <c r="CA7" i="3" s="1"/>
  <c r="CB7" i="3" s="1"/>
  <c r="CC7" i="3" s="1"/>
  <c r="CD7" i="3" s="1"/>
  <c r="CE7" i="3" s="1"/>
  <c r="CF7" i="3" s="1"/>
  <c r="CG7" i="3" s="1"/>
  <c r="CH7" i="3" s="1"/>
  <c r="CI7" i="3" s="1"/>
  <c r="CJ7" i="3" s="1"/>
  <c r="CK7" i="3" s="1"/>
  <c r="CL7" i="3" s="1"/>
  <c r="CM7" i="3" s="1"/>
  <c r="CN7" i="3" s="1"/>
  <c r="CO7" i="3" s="1"/>
  <c r="BH7" i="3"/>
  <c r="BG7" i="3"/>
  <c r="G10" i="15"/>
  <c r="H10" i="15"/>
  <c r="F10" i="15"/>
  <c r="DK14" i="2"/>
  <c r="BZ14" i="2"/>
  <c r="CA14" i="2"/>
  <c r="CB14" i="2"/>
  <c r="CC14" i="2"/>
  <c r="CE14" i="2"/>
  <c r="CF14" i="2"/>
  <c r="CG14" i="2"/>
  <c r="CH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Z14" i="2"/>
  <c r="DA14" i="2"/>
  <c r="DB14" i="2"/>
  <c r="DC14" i="2"/>
  <c r="DD14" i="2"/>
  <c r="DE14" i="2"/>
  <c r="DF14" i="2"/>
  <c r="DG14" i="2"/>
  <c r="DH14" i="2"/>
  <c r="DI14" i="2"/>
  <c r="DJ14" i="2"/>
  <c r="BZ12" i="2"/>
  <c r="CA12" i="2"/>
  <c r="CB12" i="2"/>
  <c r="CC12" i="2"/>
  <c r="CE12" i="2"/>
  <c r="CF12" i="2"/>
  <c r="CG12" i="2"/>
  <c r="CH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K10" i="2"/>
  <c r="CB7" i="2"/>
  <c r="CC7" i="2" s="1"/>
  <c r="CD7" i="2" s="1"/>
  <c r="CE7" i="2" s="1"/>
  <c r="CF7" i="2" s="1"/>
  <c r="CG7" i="2" s="1"/>
  <c r="CH7" i="2" s="1"/>
  <c r="CI7" i="2" s="1"/>
  <c r="CJ7" i="2" s="1"/>
  <c r="CK7" i="2" s="1"/>
  <c r="CL7" i="2" s="1"/>
  <c r="CM7" i="2" s="1"/>
  <c r="CN7" i="2" s="1"/>
  <c r="CO7" i="2" s="1"/>
  <c r="CP7" i="2" s="1"/>
  <c r="CQ7" i="2" s="1"/>
  <c r="CR7" i="2" s="1"/>
  <c r="CS7" i="2" s="1"/>
  <c r="CT7" i="2" s="1"/>
  <c r="CU7" i="2" s="1"/>
  <c r="CV7" i="2" s="1"/>
  <c r="CW7" i="2" s="1"/>
  <c r="CX7" i="2" s="1"/>
  <c r="CY7" i="2" s="1"/>
  <c r="CZ7" i="2" s="1"/>
  <c r="DA7" i="2" s="1"/>
  <c r="DB7" i="2" s="1"/>
  <c r="DC7" i="2" s="1"/>
  <c r="DD7" i="2" s="1"/>
  <c r="DE7" i="2" s="1"/>
  <c r="DF7" i="2" s="1"/>
  <c r="DG7" i="2" s="1"/>
  <c r="DH7" i="2" s="1"/>
  <c r="DI7" i="2" s="1"/>
  <c r="DJ7" i="2" s="1"/>
  <c r="DK7" i="2" s="1"/>
  <c r="CA7" i="2"/>
  <c r="BZ7" i="2"/>
  <c r="BK12" i="1"/>
  <c r="BG33" i="12" s="1"/>
  <c r="BK14" i="1"/>
  <c r="BG54" i="12" s="1"/>
  <c r="BK16" i="1"/>
  <c r="BG77" i="12" s="1"/>
  <c r="BL16" i="1"/>
  <c r="BH77" i="12" s="1"/>
  <c r="BM16" i="1"/>
  <c r="BI77" i="12" s="1"/>
  <c r="BN16" i="1"/>
  <c r="BJ77" i="12" s="1"/>
  <c r="BO16" i="1"/>
  <c r="BK77" i="12" s="1"/>
  <c r="BP16" i="1"/>
  <c r="BL77" i="12" s="1"/>
  <c r="CX16" i="1"/>
  <c r="BL14" i="1"/>
  <c r="BH54" i="12" s="1"/>
  <c r="BM14" i="1"/>
  <c r="BI54" i="12" s="1"/>
  <c r="BN14" i="1"/>
  <c r="BJ54" i="12" s="1"/>
  <c r="BO14" i="1"/>
  <c r="BK54" i="12" s="1"/>
  <c r="BP14" i="1"/>
  <c r="CX14" i="1"/>
  <c r="BL12" i="1"/>
  <c r="BM12" i="1"/>
  <c r="BI33" i="12" s="1"/>
  <c r="BN12" i="1"/>
  <c r="BJ33" i="12" s="1"/>
  <c r="BO12" i="1"/>
  <c r="BK33" i="12" s="1"/>
  <c r="BP12" i="1"/>
  <c r="BL33" i="12" s="1"/>
  <c r="CX12" i="1"/>
  <c r="BL10" i="1"/>
  <c r="BM10" i="1"/>
  <c r="BI14" i="12" s="1"/>
  <c r="BN10" i="1"/>
  <c r="BJ14" i="12" s="1"/>
  <c r="BO10" i="1"/>
  <c r="BK14" i="12" s="1"/>
  <c r="BP10" i="1"/>
  <c r="BL14" i="12" s="1"/>
  <c r="CX10" i="1"/>
  <c r="BV12" i="2"/>
  <c r="BW12" i="2"/>
  <c r="BX12" i="2"/>
  <c r="BY12" i="2"/>
  <c r="BV14" i="2"/>
  <c r="BW14" i="2"/>
  <c r="BX14" i="2"/>
  <c r="BY14" i="2"/>
  <c r="BU14" i="2"/>
  <c r="BU12" i="2"/>
  <c r="BV10" i="2"/>
  <c r="BW10" i="2"/>
  <c r="BX10" i="2"/>
  <c r="BY10" i="2"/>
  <c r="BU10" i="2"/>
  <c r="BK9" i="12"/>
  <c r="BL9" i="12"/>
  <c r="BJ9" i="12"/>
  <c r="BE83" i="12"/>
  <c r="BD83" i="12"/>
  <c r="BC83" i="12"/>
  <c r="BB83" i="12"/>
  <c r="BA83" i="12"/>
  <c r="AZ83" i="12"/>
  <c r="AY83" i="12"/>
  <c r="AX83" i="12"/>
  <c r="AW83" i="12"/>
  <c r="AV83" i="12"/>
  <c r="AU83" i="12"/>
  <c r="AT83" i="12"/>
  <c r="AS83" i="12"/>
  <c r="AR83" i="12"/>
  <c r="AQ83" i="12"/>
  <c r="AP83" i="12"/>
  <c r="AO83" i="12"/>
  <c r="AN83" i="12"/>
  <c r="AM83" i="12"/>
  <c r="AL83" i="12"/>
  <c r="AK83" i="12"/>
  <c r="AJ83" i="12"/>
  <c r="AI83" i="12"/>
  <c r="AH83" i="12"/>
  <c r="AG83" i="12"/>
  <c r="AF83" i="12"/>
  <c r="AE83" i="12"/>
  <c r="AD83" i="12"/>
  <c r="AC83" i="12"/>
  <c r="AB83" i="12"/>
  <c r="AA83" i="12"/>
  <c r="Z83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BE82" i="12"/>
  <c r="BD82" i="12"/>
  <c r="BC82" i="12"/>
  <c r="BB82" i="12"/>
  <c r="BA82" i="12"/>
  <c r="AZ82" i="12"/>
  <c r="AY82" i="12"/>
  <c r="AX82" i="12"/>
  <c r="AW82" i="12"/>
  <c r="AV82" i="12"/>
  <c r="AU82" i="12"/>
  <c r="AT82" i="12"/>
  <c r="AS82" i="12"/>
  <c r="AR82" i="12"/>
  <c r="AQ82" i="12"/>
  <c r="AP82" i="12"/>
  <c r="AO82" i="12"/>
  <c r="BE10" i="12"/>
  <c r="BD10" i="12"/>
  <c r="BC10" i="12"/>
  <c r="BB10" i="12"/>
  <c r="BA10" i="12"/>
  <c r="AZ10" i="12"/>
  <c r="AY10" i="12"/>
  <c r="AX10" i="12"/>
  <c r="AW10" i="12"/>
  <c r="AV10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BE9" i="12"/>
  <c r="BD9" i="12"/>
  <c r="BC9" i="12"/>
  <c r="BB9" i="12"/>
  <c r="BA9" i="12"/>
  <c r="AZ9" i="12"/>
  <c r="AY9" i="12"/>
  <c r="AX9" i="12"/>
  <c r="AW9" i="12"/>
  <c r="AV9" i="12"/>
  <c r="AU9" i="12"/>
  <c r="AT9" i="12"/>
  <c r="AS9" i="12"/>
  <c r="AR9" i="12"/>
  <c r="AQ9" i="12"/>
  <c r="AP9" i="12"/>
  <c r="AO9" i="12"/>
  <c r="D12" i="16"/>
  <c r="F12" i="16"/>
  <c r="BY16" i="16"/>
  <c r="BX16" i="16"/>
  <c r="BW16" i="16"/>
  <c r="BV16" i="16"/>
  <c r="BU16" i="16"/>
  <c r="BT16" i="16"/>
  <c r="BS16" i="16"/>
  <c r="BR16" i="16"/>
  <c r="BQ16" i="16"/>
  <c r="BP16" i="16"/>
  <c r="BO16" i="16"/>
  <c r="BN16" i="16"/>
  <c r="BM16" i="16"/>
  <c r="BL16" i="16"/>
  <c r="BK16" i="16"/>
  <c r="BJ16" i="16"/>
  <c r="BI16" i="16"/>
  <c r="BH16" i="16"/>
  <c r="BG16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5" i="16"/>
  <c r="BY14" i="16"/>
  <c r="BX14" i="16"/>
  <c r="BW14" i="16"/>
  <c r="BV14" i="16"/>
  <c r="BU14" i="16"/>
  <c r="BT14" i="16"/>
  <c r="BS14" i="16"/>
  <c r="BR14" i="16"/>
  <c r="BQ14" i="16"/>
  <c r="BP14" i="16"/>
  <c r="BO14" i="16"/>
  <c r="BN14" i="16"/>
  <c r="BM14" i="16"/>
  <c r="BL14" i="16"/>
  <c r="BK14" i="16"/>
  <c r="BJ14" i="16"/>
  <c r="BI14" i="16"/>
  <c r="BH14" i="16"/>
  <c r="BG14" i="16"/>
  <c r="BF14" i="16"/>
  <c r="BE14" i="16"/>
  <c r="BD14" i="16"/>
  <c r="BC14" i="16"/>
  <c r="BB14" i="16"/>
  <c r="BA14" i="16"/>
  <c r="AZ14" i="16"/>
  <c r="AY14" i="16"/>
  <c r="AX14" i="16"/>
  <c r="AW14" i="16"/>
  <c r="AV14" i="16"/>
  <c r="AU14" i="16"/>
  <c r="AT14" i="16"/>
  <c r="AS14" i="16"/>
  <c r="AR14" i="16"/>
  <c r="AQ14" i="16"/>
  <c r="AP14" i="16"/>
  <c r="AO14" i="16"/>
  <c r="AN14" i="16"/>
  <c r="AM14" i="16"/>
  <c r="AL14" i="16"/>
  <c r="AK14" i="16"/>
  <c r="AJ14" i="16"/>
  <c r="AI14" i="16"/>
  <c r="AH14" i="16"/>
  <c r="AG14" i="16"/>
  <c r="AF14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M14" i="16"/>
  <c r="L14" i="16"/>
  <c r="K14" i="16"/>
  <c r="J14" i="16"/>
  <c r="I14" i="16"/>
  <c r="H14" i="16"/>
  <c r="G14" i="16"/>
  <c r="F14" i="16"/>
  <c r="E14" i="16"/>
  <c r="D14" i="16"/>
  <c r="C13" i="16"/>
  <c r="BY12" i="16"/>
  <c r="BX12" i="16"/>
  <c r="BW12" i="16"/>
  <c r="BV12" i="16"/>
  <c r="BU12" i="16"/>
  <c r="BT12" i="16"/>
  <c r="BS12" i="16"/>
  <c r="BR12" i="16"/>
  <c r="BQ12" i="16"/>
  <c r="BP12" i="16"/>
  <c r="BO12" i="16"/>
  <c r="BN12" i="16"/>
  <c r="BM12" i="16"/>
  <c r="BL12" i="16"/>
  <c r="BK12" i="16"/>
  <c r="BJ12" i="16"/>
  <c r="BI12" i="16"/>
  <c r="BH12" i="16"/>
  <c r="BG12" i="16"/>
  <c r="BF12" i="16"/>
  <c r="BE12" i="16"/>
  <c r="BD12" i="16"/>
  <c r="BC12" i="16"/>
  <c r="BB12" i="16"/>
  <c r="BA12" i="16"/>
  <c r="AZ12" i="16"/>
  <c r="AX12" i="16"/>
  <c r="AW12" i="16"/>
  <c r="AV12" i="16"/>
  <c r="AU12" i="16"/>
  <c r="AT12" i="16"/>
  <c r="AS12" i="16"/>
  <c r="AR12" i="16"/>
  <c r="AQ12" i="16"/>
  <c r="AP12" i="16"/>
  <c r="AO12" i="16"/>
  <c r="AN12" i="16"/>
  <c r="AM12" i="16"/>
  <c r="AL12" i="16"/>
  <c r="AK12" i="16"/>
  <c r="AJ12" i="16"/>
  <c r="AI12" i="16"/>
  <c r="AH12" i="16"/>
  <c r="AG12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M12" i="16"/>
  <c r="L12" i="16"/>
  <c r="K12" i="16"/>
  <c r="J12" i="16"/>
  <c r="I12" i="16"/>
  <c r="H12" i="16"/>
  <c r="G12" i="16"/>
  <c r="E12" i="16"/>
  <c r="AY12" i="16"/>
  <c r="C11" i="16"/>
  <c r="BY10" i="16"/>
  <c r="BX10" i="16"/>
  <c r="BW10" i="16"/>
  <c r="BV10" i="16"/>
  <c r="BU10" i="16"/>
  <c r="BT10" i="16"/>
  <c r="BS10" i="16"/>
  <c r="BR10" i="16"/>
  <c r="BQ10" i="16"/>
  <c r="BP10" i="16"/>
  <c r="BO10" i="16"/>
  <c r="BN10" i="16"/>
  <c r="BM10" i="16"/>
  <c r="BL10" i="16"/>
  <c r="BK10" i="16"/>
  <c r="BJ10" i="16"/>
  <c r="BI10" i="16"/>
  <c r="BH10" i="16"/>
  <c r="BG10" i="16"/>
  <c r="BF10" i="16"/>
  <c r="BE10" i="16"/>
  <c r="BD10" i="16"/>
  <c r="BC10" i="16"/>
  <c r="BB10" i="16"/>
  <c r="BA10" i="16"/>
  <c r="AZ10" i="16"/>
  <c r="AY10" i="16"/>
  <c r="AX10" i="16"/>
  <c r="AW10" i="16"/>
  <c r="AV10" i="16"/>
  <c r="AU10" i="16"/>
  <c r="AT10" i="16"/>
  <c r="AS10" i="16"/>
  <c r="AR10" i="16"/>
  <c r="AQ10" i="16"/>
  <c r="AP10" i="16"/>
  <c r="AO10" i="16"/>
  <c r="AN10" i="16"/>
  <c r="AM10" i="16"/>
  <c r="AL10" i="16"/>
  <c r="AK10" i="16"/>
  <c r="AJ10" i="16"/>
  <c r="AI10" i="16"/>
  <c r="AH10" i="16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K10" i="16"/>
  <c r="BQ10" i="12" s="1"/>
  <c r="J10" i="16"/>
  <c r="I10" i="16"/>
  <c r="H10" i="16"/>
  <c r="G10" i="16"/>
  <c r="F10" i="16"/>
  <c r="E10" i="16"/>
  <c r="D10" i="16"/>
  <c r="I7" i="16"/>
  <c r="J7" i="16" s="1"/>
  <c r="K7" i="16" s="1"/>
  <c r="L7" i="16" s="1"/>
  <c r="M7" i="16" s="1"/>
  <c r="N7" i="16" s="1"/>
  <c r="O7" i="16" s="1"/>
  <c r="P7" i="16" s="1"/>
  <c r="Q7" i="16" s="1"/>
  <c r="R7" i="16" s="1"/>
  <c r="S7" i="16" s="1"/>
  <c r="T7" i="16" s="1"/>
  <c r="U7" i="16" s="1"/>
  <c r="V7" i="16" s="1"/>
  <c r="W7" i="16" s="1"/>
  <c r="X7" i="16" s="1"/>
  <c r="Y7" i="16" s="1"/>
  <c r="Z7" i="16" s="1"/>
  <c r="AA7" i="16" s="1"/>
  <c r="AB7" i="16" s="1"/>
  <c r="AC7" i="16" s="1"/>
  <c r="AD7" i="16" s="1"/>
  <c r="AE7" i="16" s="1"/>
  <c r="AF7" i="16" s="1"/>
  <c r="AG7" i="16" s="1"/>
  <c r="AH7" i="16" s="1"/>
  <c r="AI7" i="16" s="1"/>
  <c r="AJ7" i="16" s="1"/>
  <c r="AK7" i="16" s="1"/>
  <c r="AL7" i="16" s="1"/>
  <c r="AM7" i="16" s="1"/>
  <c r="AN7" i="16" s="1"/>
  <c r="AO7" i="16" s="1"/>
  <c r="AP7" i="16" s="1"/>
  <c r="AQ7" i="16" s="1"/>
  <c r="AR7" i="16" s="1"/>
  <c r="AS7" i="16" s="1"/>
  <c r="AT7" i="16" s="1"/>
  <c r="AU7" i="16" s="1"/>
  <c r="AV7" i="16" s="1"/>
  <c r="AW7" i="16" s="1"/>
  <c r="AX7" i="16" s="1"/>
  <c r="AY7" i="16" s="1"/>
  <c r="AZ7" i="16" s="1"/>
  <c r="BA7" i="16" s="1"/>
  <c r="BB7" i="16" s="1"/>
  <c r="BC7" i="16" s="1"/>
  <c r="BD7" i="16" s="1"/>
  <c r="BE7" i="16" s="1"/>
  <c r="BF7" i="16" s="1"/>
  <c r="BG7" i="16" s="1"/>
  <c r="BH7" i="16" s="1"/>
  <c r="BI7" i="16" s="1"/>
  <c r="BJ7" i="16" s="1"/>
  <c r="BK7" i="16" s="1"/>
  <c r="BL7" i="16" s="1"/>
  <c r="BM7" i="16" s="1"/>
  <c r="BN7" i="16" s="1"/>
  <c r="BO7" i="16" s="1"/>
  <c r="BP7" i="16" s="1"/>
  <c r="BQ7" i="16" s="1"/>
  <c r="BR7" i="16" s="1"/>
  <c r="BS7" i="16" s="1"/>
  <c r="BT7" i="16" s="1"/>
  <c r="BU7" i="16" s="1"/>
  <c r="BV7" i="16" s="1"/>
  <c r="BW7" i="16" s="1"/>
  <c r="BX7" i="16" s="1"/>
  <c r="BY7" i="16" s="1"/>
  <c r="F16" i="15"/>
  <c r="F14" i="15"/>
  <c r="F12" i="15"/>
  <c r="M16" i="15"/>
  <c r="L16" i="15"/>
  <c r="K16" i="15"/>
  <c r="J16" i="15"/>
  <c r="I16" i="15"/>
  <c r="H16" i="15"/>
  <c r="G16" i="15"/>
  <c r="E15" i="15"/>
  <c r="BO14" i="15"/>
  <c r="BN14" i="15"/>
  <c r="BM14" i="15"/>
  <c r="BL14" i="15"/>
  <c r="BK14" i="15"/>
  <c r="BJ14" i="15"/>
  <c r="BI14" i="15"/>
  <c r="BH14" i="15"/>
  <c r="BG14" i="15"/>
  <c r="BF14" i="15"/>
  <c r="BE14" i="15"/>
  <c r="BD14" i="15"/>
  <c r="BC14" i="15"/>
  <c r="BB14" i="15"/>
  <c r="BA14" i="15"/>
  <c r="AZ14" i="15"/>
  <c r="AY14" i="15"/>
  <c r="AX14" i="15"/>
  <c r="AW14" i="15"/>
  <c r="AV14" i="15"/>
  <c r="AU14" i="15"/>
  <c r="AT14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O14" i="15"/>
  <c r="N14" i="15"/>
  <c r="M14" i="15"/>
  <c r="L14" i="15"/>
  <c r="K14" i="15"/>
  <c r="J14" i="15"/>
  <c r="I14" i="15"/>
  <c r="H14" i="15"/>
  <c r="G14" i="15"/>
  <c r="E13" i="15"/>
  <c r="BO12" i="15"/>
  <c r="BN12" i="15"/>
  <c r="BM12" i="15"/>
  <c r="BL12" i="15"/>
  <c r="BK12" i="15"/>
  <c r="BJ12" i="15"/>
  <c r="BI12" i="15"/>
  <c r="BH12" i="15"/>
  <c r="BG12" i="15"/>
  <c r="BF12" i="15"/>
  <c r="BE12" i="15"/>
  <c r="BD12" i="15"/>
  <c r="BC12" i="15"/>
  <c r="BB12" i="15"/>
  <c r="BA12" i="15"/>
  <c r="AZ12" i="15"/>
  <c r="AY12" i="15"/>
  <c r="AX12" i="15"/>
  <c r="AW12" i="15"/>
  <c r="AV12" i="15"/>
  <c r="AU12" i="15"/>
  <c r="AT12" i="15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O12" i="15"/>
  <c r="N12" i="15"/>
  <c r="M12" i="15"/>
  <c r="BQ37" i="12" s="1"/>
  <c r="K12" i="15"/>
  <c r="BO37" i="12" s="1"/>
  <c r="J12" i="15"/>
  <c r="I12" i="15"/>
  <c r="H12" i="15"/>
  <c r="G12" i="15"/>
  <c r="E11" i="15"/>
  <c r="BO10" i="15"/>
  <c r="BN10" i="15"/>
  <c r="BM10" i="15"/>
  <c r="BL10" i="15"/>
  <c r="BK10" i="15"/>
  <c r="BJ10" i="15"/>
  <c r="BI10" i="15"/>
  <c r="BH10" i="15"/>
  <c r="BG10" i="15"/>
  <c r="BF10" i="15"/>
  <c r="BE10" i="15"/>
  <c r="BD10" i="15"/>
  <c r="BC10" i="15"/>
  <c r="BB10" i="15"/>
  <c r="BA10" i="15"/>
  <c r="AZ10" i="15"/>
  <c r="AY10" i="15"/>
  <c r="AX10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O7" i="15"/>
  <c r="P7" i="15" s="1"/>
  <c r="Q7" i="15" s="1"/>
  <c r="R7" i="15" s="1"/>
  <c r="S7" i="15" s="1"/>
  <c r="T7" i="15" s="1"/>
  <c r="U7" i="15" s="1"/>
  <c r="V7" i="15" s="1"/>
  <c r="W7" i="15" s="1"/>
  <c r="X7" i="15" s="1"/>
  <c r="Y7" i="15" s="1"/>
  <c r="Z7" i="15" s="1"/>
  <c r="AA7" i="15" s="1"/>
  <c r="AB7" i="15" s="1"/>
  <c r="AC7" i="15" s="1"/>
  <c r="AD7" i="15" s="1"/>
  <c r="AE7" i="15" s="1"/>
  <c r="AF7" i="15" s="1"/>
  <c r="AG7" i="15" s="1"/>
  <c r="AH7" i="15" s="1"/>
  <c r="AI7" i="15" s="1"/>
  <c r="AJ7" i="15" s="1"/>
  <c r="AK7" i="15" s="1"/>
  <c r="AL7" i="15" s="1"/>
  <c r="AM7" i="15" s="1"/>
  <c r="AN7" i="15" s="1"/>
  <c r="AO7" i="15" s="1"/>
  <c r="AP7" i="15" s="1"/>
  <c r="AQ7" i="15" s="1"/>
  <c r="AR7" i="15" s="1"/>
  <c r="AS7" i="15" s="1"/>
  <c r="AT7" i="15" s="1"/>
  <c r="AU7" i="15" s="1"/>
  <c r="AV7" i="15" s="1"/>
  <c r="AW7" i="15" s="1"/>
  <c r="AX7" i="15" s="1"/>
  <c r="AY7" i="15" s="1"/>
  <c r="AZ7" i="15" s="1"/>
  <c r="BA7" i="15" s="1"/>
  <c r="BB7" i="15" s="1"/>
  <c r="BC7" i="15" s="1"/>
  <c r="BD7" i="15" s="1"/>
  <c r="BE7" i="15" s="1"/>
  <c r="BF7" i="15" s="1"/>
  <c r="BG7" i="15" s="1"/>
  <c r="BH7" i="15" s="1"/>
  <c r="BI7" i="15" s="1"/>
  <c r="BJ7" i="15" s="1"/>
  <c r="BK7" i="15" s="1"/>
  <c r="BL7" i="15" s="1"/>
  <c r="BM7" i="15" s="1"/>
  <c r="BN7" i="15" s="1"/>
  <c r="BO7" i="15" s="1"/>
  <c r="N7" i="15"/>
  <c r="M7" i="15"/>
  <c r="L7" i="15"/>
  <c r="BT12" i="2" l="1"/>
  <c r="BL16" i="11" l="1"/>
  <c r="BK16" i="11"/>
  <c r="BJ16" i="11"/>
  <c r="BI16" i="11"/>
  <c r="BH16" i="11"/>
  <c r="BG16" i="11"/>
  <c r="BF16" i="11"/>
  <c r="BE16" i="11"/>
  <c r="BD16" i="11"/>
  <c r="BC16" i="11"/>
  <c r="BB16" i="11"/>
  <c r="BA16" i="11"/>
  <c r="AZ16" i="11"/>
  <c r="AY16" i="11"/>
  <c r="AX16" i="11"/>
  <c r="AW16" i="11"/>
  <c r="AV16" i="11"/>
  <c r="AU16" i="11"/>
  <c r="AT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BA10" i="3"/>
  <c r="BA12" i="3"/>
  <c r="BA14" i="3"/>
  <c r="BA16" i="3"/>
  <c r="BT10" i="2"/>
  <c r="BK10" i="1"/>
  <c r="BG14" i="12" s="1"/>
  <c r="BT16" i="2"/>
  <c r="BT14" i="2" l="1"/>
  <c r="BE74" i="12" l="1"/>
  <c r="BF74" i="12"/>
  <c r="BE75" i="12"/>
  <c r="BF75" i="12"/>
  <c r="BE76" i="12"/>
  <c r="BF76" i="12"/>
  <c r="BE80" i="12"/>
  <c r="BF80" i="12"/>
  <c r="BE81" i="12"/>
  <c r="BF81" i="12"/>
  <c r="BE51" i="12"/>
  <c r="BF51" i="12"/>
  <c r="BE52" i="12"/>
  <c r="BF52" i="12"/>
  <c r="BE53" i="12"/>
  <c r="BF53" i="12"/>
  <c r="BE57" i="12"/>
  <c r="BF57" i="12"/>
  <c r="BE58" i="12"/>
  <c r="BF58" i="12"/>
  <c r="BE59" i="12"/>
  <c r="BF59" i="12"/>
  <c r="BE63" i="12"/>
  <c r="BF63" i="12"/>
  <c r="AZ10" i="3"/>
  <c r="AZ12" i="3"/>
  <c r="AZ14" i="3"/>
  <c r="AZ16" i="3"/>
  <c r="AY10" i="3"/>
  <c r="BE30" i="12"/>
  <c r="BF30" i="12"/>
  <c r="BE31" i="12"/>
  <c r="BF31" i="12"/>
  <c r="BE32" i="12"/>
  <c r="BF32" i="12"/>
  <c r="BE34" i="12"/>
  <c r="BF34" i="12"/>
  <c r="BE35" i="12"/>
  <c r="BE11" i="12"/>
  <c r="BF11" i="12"/>
  <c r="BE12" i="12"/>
  <c r="BE13" i="12"/>
  <c r="BF13" i="12"/>
  <c r="BE17" i="12"/>
  <c r="BF17" i="12"/>
  <c r="AK10" i="8"/>
  <c r="BE64" i="12" s="1"/>
  <c r="BE60" i="12"/>
  <c r="BR16" i="2"/>
  <c r="BI16" i="1"/>
  <c r="BE77" i="12" s="1"/>
  <c r="AY16" i="3"/>
  <c r="BR10" i="2"/>
  <c r="BI10" i="1"/>
  <c r="BE14" i="12" s="1"/>
  <c r="BE18" i="12"/>
  <c r="BR12" i="2"/>
  <c r="BR14" i="2"/>
  <c r="BI12" i="1"/>
  <c r="BE33" i="12" s="1"/>
  <c r="BJ10" i="1"/>
  <c r="BF14" i="12" s="1"/>
  <c r="BJ12" i="1"/>
  <c r="BF33" i="12" s="1"/>
  <c r="BJ14" i="1"/>
  <c r="BF20" i="12" s="1"/>
  <c r="BJ16" i="1"/>
  <c r="BF77" i="12" s="1"/>
  <c r="BS10" i="2"/>
  <c r="BS16" i="2"/>
  <c r="BS14" i="2"/>
  <c r="BS12" i="2"/>
  <c r="BF54" i="12" l="1"/>
  <c r="BD74" i="12"/>
  <c r="BD75" i="12"/>
  <c r="BD76" i="12"/>
  <c r="BD80" i="12"/>
  <c r="BD81" i="12"/>
  <c r="BD51" i="12"/>
  <c r="BD52" i="12"/>
  <c r="BD53" i="12"/>
  <c r="BD57" i="12"/>
  <c r="BD58" i="12"/>
  <c r="BD59" i="12"/>
  <c r="BD63" i="12"/>
  <c r="BD30" i="12"/>
  <c r="BD31" i="12"/>
  <c r="BD32" i="12"/>
  <c r="BD34" i="12"/>
  <c r="BD35" i="12"/>
  <c r="BD11" i="12"/>
  <c r="BD12" i="12"/>
  <c r="BD13" i="12"/>
  <c r="BD17" i="12"/>
  <c r="BD18" i="12"/>
  <c r="BD60" i="12"/>
  <c r="BF60" i="12"/>
  <c r="AT14" i="11"/>
  <c r="AU14" i="11"/>
  <c r="AV14" i="11"/>
  <c r="AW14" i="11"/>
  <c r="AX14" i="11"/>
  <c r="AY14" i="11"/>
  <c r="AZ14" i="11"/>
  <c r="BA14" i="11"/>
  <c r="BB14" i="11"/>
  <c r="BC14" i="11"/>
  <c r="BD14" i="11"/>
  <c r="BE14" i="11"/>
  <c r="BF14" i="11"/>
  <c r="BG14" i="11"/>
  <c r="BH14" i="11"/>
  <c r="BI14" i="11"/>
  <c r="BJ14" i="11"/>
  <c r="BK14" i="11"/>
  <c r="BL14" i="11"/>
  <c r="AZ74" i="12" l="1"/>
  <c r="BA74" i="12"/>
  <c r="BB74" i="12"/>
  <c r="BC74" i="12"/>
  <c r="AZ75" i="12"/>
  <c r="BA75" i="12"/>
  <c r="BB75" i="12"/>
  <c r="BC75" i="12"/>
  <c r="AZ76" i="12"/>
  <c r="BA76" i="12"/>
  <c r="BB76" i="12"/>
  <c r="BC76" i="12"/>
  <c r="AZ80" i="12"/>
  <c r="BA80" i="12"/>
  <c r="BB80" i="12"/>
  <c r="BC80" i="12"/>
  <c r="AZ81" i="12"/>
  <c r="BA81" i="12"/>
  <c r="BB81" i="12"/>
  <c r="BC81" i="12"/>
  <c r="AZ51" i="12"/>
  <c r="BA51" i="12"/>
  <c r="BB51" i="12"/>
  <c r="BC51" i="12"/>
  <c r="AZ52" i="12"/>
  <c r="BA52" i="12"/>
  <c r="BB52" i="12"/>
  <c r="BC52" i="12"/>
  <c r="AZ53" i="12"/>
  <c r="BA53" i="12"/>
  <c r="BB53" i="12"/>
  <c r="BC53" i="12"/>
  <c r="AZ57" i="12"/>
  <c r="BA57" i="12"/>
  <c r="BB57" i="12"/>
  <c r="BC57" i="12"/>
  <c r="AZ58" i="12"/>
  <c r="BA58" i="12"/>
  <c r="BB58" i="12"/>
  <c r="BC58" i="12"/>
  <c r="AZ59" i="12"/>
  <c r="BA59" i="12"/>
  <c r="BB59" i="12"/>
  <c r="BC59" i="12"/>
  <c r="AZ63" i="12"/>
  <c r="BA63" i="12"/>
  <c r="BB63" i="12"/>
  <c r="BC63" i="12"/>
  <c r="AZ30" i="12"/>
  <c r="BA30" i="12"/>
  <c r="BB30" i="12"/>
  <c r="BC30" i="12"/>
  <c r="AZ31" i="12"/>
  <c r="BA31" i="12"/>
  <c r="BB31" i="12"/>
  <c r="BC31" i="12"/>
  <c r="AZ32" i="12"/>
  <c r="BA32" i="12"/>
  <c r="BB32" i="12"/>
  <c r="BC32" i="12"/>
  <c r="AZ34" i="12"/>
  <c r="BA34" i="12"/>
  <c r="BB34" i="12"/>
  <c r="BC34" i="12"/>
  <c r="AZ35" i="12"/>
  <c r="BA35" i="12"/>
  <c r="BB35" i="12"/>
  <c r="BC35" i="12"/>
  <c r="AW10" i="3"/>
  <c r="AX10" i="3"/>
  <c r="BB11" i="12"/>
  <c r="BC11" i="12"/>
  <c r="BB12" i="12"/>
  <c r="BC12" i="12"/>
  <c r="BB13" i="12"/>
  <c r="BC13" i="12"/>
  <c r="BB17" i="12"/>
  <c r="BC17" i="12"/>
  <c r="BB18" i="12"/>
  <c r="BC18" i="12"/>
  <c r="AZ11" i="12"/>
  <c r="BA11" i="12"/>
  <c r="AZ12" i="12"/>
  <c r="BA12" i="12"/>
  <c r="AZ13" i="12"/>
  <c r="BA13" i="12"/>
  <c r="AZ17" i="12"/>
  <c r="BA17" i="12"/>
  <c r="AZ18" i="12"/>
  <c r="BA18" i="12"/>
  <c r="AV16" i="3"/>
  <c r="AW16" i="3"/>
  <c r="AX16" i="3"/>
  <c r="AW12" i="3"/>
  <c r="AX12" i="3"/>
  <c r="AY12" i="3"/>
  <c r="BF35" i="12"/>
  <c r="AW14" i="3"/>
  <c r="AX14" i="3"/>
  <c r="AY14" i="3"/>
  <c r="BG10" i="1"/>
  <c r="BC14" i="12" s="1"/>
  <c r="AV14" i="3"/>
  <c r="AV12" i="3"/>
  <c r="AF10" i="8" l="1"/>
  <c r="AZ64" i="12" s="1"/>
  <c r="AG10" i="8"/>
  <c r="BA64" i="12" s="1"/>
  <c r="AH10" i="8"/>
  <c r="BB64" i="12" s="1"/>
  <c r="AI10" i="8"/>
  <c r="BC64" i="12" s="1"/>
  <c r="AJ10" i="8"/>
  <c r="BD64" i="12" s="1"/>
  <c r="AL10" i="8"/>
  <c r="BF64" i="12" s="1"/>
  <c r="AM10" i="8"/>
  <c r="BG64" i="12" s="1"/>
  <c r="AN10" i="8"/>
  <c r="BH64" i="12" s="1"/>
  <c r="AO10" i="8"/>
  <c r="BI64" i="12" s="1"/>
  <c r="AP10" i="8"/>
  <c r="BJ64" i="12" s="1"/>
  <c r="AQ10" i="8"/>
  <c r="BK64" i="12" s="1"/>
  <c r="AR10" i="8"/>
  <c r="BL64" i="12" s="1"/>
  <c r="AS10" i="8"/>
  <c r="BM64" i="12" s="1"/>
  <c r="BM10" i="2" l="1"/>
  <c r="AN37" i="12" l="1"/>
  <c r="AM37" i="12"/>
  <c r="AL37" i="12"/>
  <c r="AK37" i="12"/>
  <c r="AJ37" i="12"/>
  <c r="AI37" i="12"/>
  <c r="AH37" i="12"/>
  <c r="AG37" i="12"/>
  <c r="AF37" i="12"/>
  <c r="AE37" i="12"/>
  <c r="AD37" i="12"/>
  <c r="AC37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AY74" i="12"/>
  <c r="AY75" i="12"/>
  <c r="AY76" i="12"/>
  <c r="AY80" i="12"/>
  <c r="AY81" i="12"/>
  <c r="AY51" i="12"/>
  <c r="AY52" i="12"/>
  <c r="AY53" i="12"/>
  <c r="AY57" i="12"/>
  <c r="AY58" i="12"/>
  <c r="AY59" i="12"/>
  <c r="AY63" i="12"/>
  <c r="AY30" i="12"/>
  <c r="AY31" i="12"/>
  <c r="AY32" i="12"/>
  <c r="AY34" i="12"/>
  <c r="AY35" i="12"/>
  <c r="AY11" i="12"/>
  <c r="AY12" i="12"/>
  <c r="AY13" i="12"/>
  <c r="AY14" i="12"/>
  <c r="AY17" i="12"/>
  <c r="AY18" i="12"/>
  <c r="AS10" i="3"/>
  <c r="BC16" i="1"/>
  <c r="AY77" i="12" s="1"/>
  <c r="BD16" i="1"/>
  <c r="AZ77" i="12" s="1"/>
  <c r="BE16" i="1"/>
  <c r="BA77" i="12" s="1"/>
  <c r="BF16" i="1"/>
  <c r="BB77" i="12" s="1"/>
  <c r="BG16" i="1"/>
  <c r="BC77" i="12" s="1"/>
  <c r="BH16" i="1"/>
  <c r="BD77" i="12" s="1"/>
  <c r="BC14" i="1"/>
  <c r="AY20" i="12" s="1"/>
  <c r="BD14" i="1"/>
  <c r="BE14" i="1"/>
  <c r="BF14" i="1"/>
  <c r="BG14" i="1"/>
  <c r="BH14" i="1"/>
  <c r="BI14" i="1"/>
  <c r="BC12" i="1"/>
  <c r="AY33" i="12" s="1"/>
  <c r="BD12" i="1"/>
  <c r="AZ33" i="12" s="1"/>
  <c r="BE12" i="1"/>
  <c r="BA33" i="12" s="1"/>
  <c r="BF12" i="1"/>
  <c r="BB33" i="12" s="1"/>
  <c r="BG12" i="1"/>
  <c r="BC33" i="12" s="1"/>
  <c r="BH12" i="1"/>
  <c r="BD33" i="12" s="1"/>
  <c r="BC10" i="1"/>
  <c r="BD10" i="1"/>
  <c r="AZ14" i="12" s="1"/>
  <c r="BE10" i="1"/>
  <c r="BA14" i="12" s="1"/>
  <c r="BF10" i="1"/>
  <c r="BB14" i="12" s="1"/>
  <c r="BH10" i="1"/>
  <c r="BD14" i="12" s="1"/>
  <c r="BL10" i="2"/>
  <c r="BL16" i="2"/>
  <c r="BF7" i="3"/>
  <c r="BB20" i="12" l="1"/>
  <c r="BB54" i="12"/>
  <c r="BA20" i="12"/>
  <c r="BA54" i="12"/>
  <c r="AZ20" i="12"/>
  <c r="AZ54" i="12"/>
  <c r="BC20" i="12"/>
  <c r="BC54" i="12"/>
  <c r="AY54" i="12"/>
  <c r="BE20" i="12"/>
  <c r="BE54" i="12"/>
  <c r="BD20" i="12"/>
  <c r="BD54" i="12"/>
  <c r="BB14" i="1"/>
  <c r="AX20" i="12" s="1"/>
  <c r="AX58" i="12"/>
  <c r="BB10" i="1"/>
  <c r="AX11" i="12" l="1"/>
  <c r="AX12" i="12"/>
  <c r="AX13" i="12"/>
  <c r="AX14" i="12"/>
  <c r="AX17" i="12"/>
  <c r="AX18" i="12"/>
  <c r="AX74" i="12"/>
  <c r="AX75" i="12"/>
  <c r="AX76" i="12"/>
  <c r="AX80" i="12"/>
  <c r="AX81" i="12"/>
  <c r="AX51" i="12"/>
  <c r="AX52" i="12"/>
  <c r="AX53" i="12"/>
  <c r="AX54" i="12"/>
  <c r="AX57" i="12"/>
  <c r="AX59" i="12"/>
  <c r="AX63" i="12"/>
  <c r="AX30" i="12"/>
  <c r="AX31" i="12"/>
  <c r="AX32" i="12"/>
  <c r="AX34" i="12"/>
  <c r="AX35" i="12"/>
  <c r="BK10" i="2"/>
  <c r="AQ10" i="3" l="1"/>
  <c r="AW18" i="12" s="1"/>
  <c r="BA10" i="1"/>
  <c r="AW14" i="12" s="1"/>
  <c r="BJ10" i="2"/>
  <c r="AW74" i="12"/>
  <c r="AW75" i="12"/>
  <c r="AW76" i="12"/>
  <c r="AW80" i="12"/>
  <c r="AW81" i="12"/>
  <c r="AW51" i="12"/>
  <c r="AW52" i="12"/>
  <c r="AW53" i="12"/>
  <c r="AW57" i="12"/>
  <c r="AW58" i="12"/>
  <c r="AW59" i="12"/>
  <c r="AW63" i="12"/>
  <c r="AW30" i="12"/>
  <c r="AW31" i="12"/>
  <c r="AW32" i="12"/>
  <c r="AW34" i="12"/>
  <c r="AW35" i="12"/>
  <c r="AW11" i="12"/>
  <c r="AW12" i="12"/>
  <c r="AW13" i="12"/>
  <c r="AW17" i="12"/>
  <c r="AQ12" i="3"/>
  <c r="AQ14" i="3"/>
  <c r="AQ16" i="3"/>
  <c r="BA14" i="1"/>
  <c r="AW20" i="12" s="1"/>
  <c r="BK12" i="2"/>
  <c r="BL12" i="2"/>
  <c r="BM12" i="2"/>
  <c r="BN12" i="2"/>
  <c r="BO12" i="2"/>
  <c r="BP12" i="2"/>
  <c r="BQ12" i="2"/>
  <c r="BK16" i="2"/>
  <c r="BM16" i="2"/>
  <c r="BN16" i="2"/>
  <c r="BO16" i="2"/>
  <c r="BP16" i="2"/>
  <c r="BQ16" i="2"/>
  <c r="BK14" i="2"/>
  <c r="BL14" i="2"/>
  <c r="BM14" i="2"/>
  <c r="BN14" i="2"/>
  <c r="BO14" i="2"/>
  <c r="BP14" i="2"/>
  <c r="BQ14" i="2"/>
  <c r="BN10" i="2"/>
  <c r="BO10" i="2"/>
  <c r="BP10" i="2"/>
  <c r="BQ10" i="2"/>
  <c r="BJ12" i="2"/>
  <c r="BJ14" i="2"/>
  <c r="AW54" i="12" l="1"/>
  <c r="AV74" i="12"/>
  <c r="AV75" i="12"/>
  <c r="AV76" i="12"/>
  <c r="AV80" i="12"/>
  <c r="AV81" i="12"/>
  <c r="AV51" i="12"/>
  <c r="AV52" i="12"/>
  <c r="AV53" i="12"/>
  <c r="AV54" i="12"/>
  <c r="AV57" i="12"/>
  <c r="AV58" i="12"/>
  <c r="AV59" i="12"/>
  <c r="AV63" i="12"/>
  <c r="AV35" i="12"/>
  <c r="AV34" i="12"/>
  <c r="AV32" i="12"/>
  <c r="AV31" i="12"/>
  <c r="AV30" i="12"/>
  <c r="AV18" i="12"/>
  <c r="AV17" i="12"/>
  <c r="AV13" i="12"/>
  <c r="AV12" i="12"/>
  <c r="AV11" i="12"/>
  <c r="AP14" i="3"/>
  <c r="AP12" i="3"/>
  <c r="AZ14" i="1"/>
  <c r="AV20" i="12" s="1"/>
  <c r="AU81" i="12" l="1"/>
  <c r="AU80" i="12"/>
  <c r="AU76" i="12"/>
  <c r="AU75" i="12"/>
  <c r="AU74" i="12"/>
  <c r="AU63" i="12"/>
  <c r="AU59" i="12"/>
  <c r="AU58" i="12"/>
  <c r="AU57" i="12"/>
  <c r="AU54" i="12"/>
  <c r="AU53" i="12"/>
  <c r="AU52" i="12"/>
  <c r="AU51" i="12"/>
  <c r="AU35" i="12"/>
  <c r="AU34" i="12"/>
  <c r="AU32" i="12"/>
  <c r="AU31" i="12"/>
  <c r="AU30" i="12"/>
  <c r="AU18" i="12"/>
  <c r="AU17" i="12"/>
  <c r="AU13" i="12"/>
  <c r="AU12" i="12"/>
  <c r="AU11" i="12"/>
  <c r="AO16" i="3"/>
  <c r="AO12" i="3"/>
  <c r="AY16" i="1"/>
  <c r="AU77" i="12" s="1"/>
  <c r="AY14" i="1"/>
  <c r="AU20" i="12" s="1"/>
  <c r="AY12" i="1"/>
  <c r="AU33" i="12" s="1"/>
  <c r="BH16" i="2"/>
  <c r="BH14" i="2"/>
  <c r="BH12" i="2"/>
  <c r="AP81" i="12" l="1"/>
  <c r="AQ81" i="12"/>
  <c r="AR81" i="12"/>
  <c r="AS81" i="12"/>
  <c r="AT81" i="12"/>
  <c r="AP80" i="12"/>
  <c r="AQ80" i="12"/>
  <c r="AR80" i="12"/>
  <c r="AS80" i="12"/>
  <c r="AT80" i="12"/>
  <c r="AO81" i="12"/>
  <c r="AO80" i="12"/>
  <c r="AP76" i="12"/>
  <c r="AQ76" i="12"/>
  <c r="AR76" i="12"/>
  <c r="AS76" i="12"/>
  <c r="AT76" i="12"/>
  <c r="AO76" i="12"/>
  <c r="AP75" i="12"/>
  <c r="AQ75" i="12"/>
  <c r="AR75" i="12"/>
  <c r="AS75" i="12"/>
  <c r="AT75" i="12"/>
  <c r="AP74" i="12"/>
  <c r="AQ74" i="12"/>
  <c r="AR74" i="12"/>
  <c r="AS74" i="12"/>
  <c r="AT74" i="12"/>
  <c r="AO75" i="12"/>
  <c r="AO74" i="12"/>
  <c r="AP63" i="12"/>
  <c r="AQ63" i="12"/>
  <c r="AR63" i="12"/>
  <c r="AS63" i="12"/>
  <c r="AT63" i="12"/>
  <c r="AO63" i="12"/>
  <c r="AQ59" i="12"/>
  <c r="AR59" i="12"/>
  <c r="AS59" i="12"/>
  <c r="AT59" i="12"/>
  <c r="AP59" i="12"/>
  <c r="AP58" i="12"/>
  <c r="AQ58" i="12"/>
  <c r="AR58" i="12"/>
  <c r="AS58" i="12"/>
  <c r="AT58" i="12"/>
  <c r="AO58" i="12"/>
  <c r="AP57" i="12"/>
  <c r="AQ57" i="12"/>
  <c r="AR57" i="12"/>
  <c r="AS57" i="12"/>
  <c r="AT57" i="12"/>
  <c r="AO57" i="12"/>
  <c r="AP53" i="12"/>
  <c r="AQ53" i="12"/>
  <c r="AR53" i="12"/>
  <c r="AS53" i="12"/>
  <c r="AT53" i="12"/>
  <c r="AO53" i="12"/>
  <c r="AP52" i="12"/>
  <c r="AQ52" i="12"/>
  <c r="AR52" i="12"/>
  <c r="AS52" i="12"/>
  <c r="AT52" i="12"/>
  <c r="AO52" i="12"/>
  <c r="AP51" i="12"/>
  <c r="AQ51" i="12"/>
  <c r="AR51" i="12"/>
  <c r="AS51" i="12"/>
  <c r="AT51" i="12"/>
  <c r="AO51" i="12"/>
  <c r="AP35" i="12"/>
  <c r="AQ35" i="12"/>
  <c r="AR35" i="12"/>
  <c r="AS35" i="12"/>
  <c r="AT35" i="12"/>
  <c r="AO35" i="12"/>
  <c r="AP34" i="12"/>
  <c r="AQ34" i="12"/>
  <c r="AR34" i="12"/>
  <c r="AS34" i="12"/>
  <c r="AT34" i="12"/>
  <c r="AO34" i="12"/>
  <c r="AP32" i="12"/>
  <c r="AQ32" i="12"/>
  <c r="AR32" i="12"/>
  <c r="AS32" i="12"/>
  <c r="AT32" i="12"/>
  <c r="AO32" i="12"/>
  <c r="AP31" i="12"/>
  <c r="AQ31" i="12"/>
  <c r="AR31" i="12"/>
  <c r="AS31" i="12"/>
  <c r="AT31" i="12"/>
  <c r="AO31" i="12"/>
  <c r="AP30" i="12"/>
  <c r="AQ30" i="12"/>
  <c r="AR30" i="12"/>
  <c r="AS30" i="12"/>
  <c r="AT30" i="12"/>
  <c r="AO30" i="12"/>
  <c r="AS12" i="12"/>
  <c r="AT12" i="12"/>
  <c r="AP18" i="12"/>
  <c r="AQ18" i="12"/>
  <c r="AR18" i="12"/>
  <c r="AS18" i="12"/>
  <c r="AT18" i="12"/>
  <c r="AO18" i="12"/>
  <c r="AP17" i="12"/>
  <c r="AQ17" i="12"/>
  <c r="AR17" i="12"/>
  <c r="AS17" i="12"/>
  <c r="AT17" i="12"/>
  <c r="AO17" i="12"/>
  <c r="AP13" i="12"/>
  <c r="AQ13" i="12"/>
  <c r="AR13" i="12"/>
  <c r="AS13" i="12"/>
  <c r="AT13" i="12"/>
  <c r="AO13" i="12"/>
  <c r="AP12" i="12"/>
  <c r="AQ12" i="12"/>
  <c r="AR12" i="12"/>
  <c r="AO12" i="12"/>
  <c r="AP11" i="12"/>
  <c r="AQ11" i="12"/>
  <c r="AR11" i="12"/>
  <c r="AS11" i="12"/>
  <c r="AT11" i="12"/>
  <c r="AO11" i="12"/>
  <c r="AE10" i="8"/>
  <c r="AY64" i="12" s="1"/>
  <c r="AD10" i="8"/>
  <c r="AX64" i="12" s="1"/>
  <c r="AC10" i="8"/>
  <c r="AW64" i="12" s="1"/>
  <c r="AB10" i="8"/>
  <c r="AV64" i="12" s="1"/>
  <c r="AA10" i="8"/>
  <c r="AU64" i="12" s="1"/>
  <c r="Z10" i="8"/>
  <c r="AT64" i="12" s="1"/>
  <c r="AX16" i="1"/>
  <c r="AT77" i="12" s="1"/>
  <c r="AX10" i="1"/>
  <c r="AT14" i="12" s="1"/>
  <c r="AX14" i="1"/>
  <c r="AT20" i="12" s="1"/>
  <c r="AX12" i="1"/>
  <c r="AT33" i="12" s="1"/>
  <c r="AZ12" i="1"/>
  <c r="AV33" i="12" s="1"/>
  <c r="BA12" i="1"/>
  <c r="AW33" i="12" s="1"/>
  <c r="BB12" i="1"/>
  <c r="AX33" i="12" s="1"/>
  <c r="AT54" i="12" l="1"/>
  <c r="AM16" i="3"/>
  <c r="M7" i="12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AG7" i="12" s="1"/>
  <c r="AH7" i="12" s="1"/>
  <c r="AI7" i="12" s="1"/>
  <c r="AJ7" i="12" s="1"/>
  <c r="AK7" i="12" s="1"/>
  <c r="AL7" i="12" s="1"/>
  <c r="AM7" i="12" s="1"/>
  <c r="AN7" i="12" s="1"/>
  <c r="AO7" i="12" s="1"/>
  <c r="AP7" i="12" s="1"/>
  <c r="AQ7" i="12" s="1"/>
  <c r="AR7" i="12" s="1"/>
  <c r="AS7" i="12" s="1"/>
  <c r="AT7" i="12" s="1"/>
  <c r="AU7" i="12" s="1"/>
  <c r="AV7" i="12" s="1"/>
  <c r="AW7" i="12" s="1"/>
  <c r="AX7" i="12" s="1"/>
  <c r="AY7" i="12" s="1"/>
  <c r="AZ7" i="12" s="1"/>
  <c r="BA7" i="12" s="1"/>
  <c r="BB7" i="12" s="1"/>
  <c r="BC7" i="12" s="1"/>
  <c r="BD7" i="12" s="1"/>
  <c r="BE7" i="12" s="1"/>
  <c r="BF7" i="12" s="1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AJ12" i="12"/>
  <c r="AK12" i="12"/>
  <c r="AL12" i="12"/>
  <c r="AM12" i="12"/>
  <c r="AN12" i="12"/>
  <c r="G13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AJ14" i="12"/>
  <c r="AK14" i="12"/>
  <c r="AL14" i="12"/>
  <c r="AM14" i="12"/>
  <c r="AN14" i="12"/>
  <c r="G17" i="12"/>
  <c r="G19" i="12" s="1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AL18" i="12"/>
  <c r="AM18" i="12"/>
  <c r="AN18" i="12"/>
  <c r="AM12" i="3"/>
  <c r="AM14" i="3"/>
  <c r="AW16" i="1"/>
  <c r="AS77" i="12" s="1"/>
  <c r="BF14" i="2"/>
  <c r="BF12" i="2"/>
  <c r="AW12" i="1"/>
  <c r="AS33" i="12" s="1"/>
  <c r="AW14" i="1"/>
  <c r="DF7" i="12" l="1"/>
  <c r="DG7" i="12" s="1"/>
  <c r="DH7" i="12" s="1"/>
  <c r="DI7" i="12" s="1"/>
  <c r="DJ7" i="12" s="1"/>
  <c r="DK7" i="12" s="1"/>
  <c r="DL7" i="12" s="1"/>
  <c r="DM7" i="12" s="1"/>
  <c r="DN7" i="12" s="1"/>
  <c r="DO7" i="12" s="1"/>
  <c r="DP7" i="12" s="1"/>
  <c r="DQ7" i="12" s="1"/>
  <c r="DR7" i="12" s="1"/>
  <c r="DS7" i="12" s="1"/>
  <c r="DT7" i="12" s="1"/>
  <c r="DU7" i="12" s="1"/>
  <c r="DV7" i="12" s="1"/>
  <c r="DW7" i="12" s="1"/>
  <c r="DX7" i="12" s="1"/>
  <c r="DY7" i="12" s="1"/>
  <c r="DZ7" i="12" s="1"/>
  <c r="EA7" i="12" s="1"/>
  <c r="EB7" i="12" s="1"/>
  <c r="EC7" i="12" s="1"/>
  <c r="BG7" i="12"/>
  <c r="BH7" i="12" s="1"/>
  <c r="BI7" i="12" s="1"/>
  <c r="BJ7" i="12" s="1"/>
  <c r="BK7" i="12" s="1"/>
  <c r="BL7" i="12" s="1"/>
  <c r="BM7" i="12" s="1"/>
  <c r="BN7" i="12" s="1"/>
  <c r="BO7" i="12" s="1"/>
  <c r="BP7" i="12" s="1"/>
  <c r="BQ7" i="12" s="1"/>
  <c r="BR7" i="12" s="1"/>
  <c r="BS7" i="12" s="1"/>
  <c r="BT7" i="12" s="1"/>
  <c r="BU7" i="12" s="1"/>
  <c r="BV7" i="12" s="1"/>
  <c r="BW7" i="12" s="1"/>
  <c r="BX7" i="12" s="1"/>
  <c r="BY7" i="12" s="1"/>
  <c r="BZ7" i="12" s="1"/>
  <c r="CA7" i="12" s="1"/>
  <c r="CB7" i="12" s="1"/>
  <c r="CC7" i="12" s="1"/>
  <c r="CD7" i="12" s="1"/>
  <c r="CE7" i="12" s="1"/>
  <c r="CF7" i="12" s="1"/>
  <c r="CG7" i="12" s="1"/>
  <c r="CH7" i="12" s="1"/>
  <c r="CI7" i="12" s="1"/>
  <c r="CJ7" i="12" s="1"/>
  <c r="CK7" i="12" s="1"/>
  <c r="CL7" i="12" s="1"/>
  <c r="CM7" i="12" s="1"/>
  <c r="CN7" i="12" s="1"/>
  <c r="CO7" i="12" s="1"/>
  <c r="CP7" i="12" s="1"/>
  <c r="CQ7" i="12" s="1"/>
  <c r="CR7" i="12" s="1"/>
  <c r="CS7" i="12" s="1"/>
  <c r="CT7" i="12" s="1"/>
  <c r="CU7" i="12" s="1"/>
  <c r="CV7" i="12" s="1"/>
  <c r="CW7" i="12" s="1"/>
  <c r="CX7" i="12" s="1"/>
  <c r="CY7" i="12" s="1"/>
  <c r="CZ7" i="12" s="1"/>
  <c r="DA7" i="12" s="1"/>
  <c r="DB7" i="12" s="1"/>
  <c r="DC7" i="12" s="1"/>
  <c r="DD7" i="12" s="1"/>
  <c r="DE7" i="12" s="1"/>
  <c r="AS20" i="12"/>
  <c r="AS54" i="12"/>
  <c r="AL12" i="3"/>
  <c r="AL14" i="3"/>
  <c r="AV16" i="1"/>
  <c r="AR77" i="12" s="1"/>
  <c r="AV12" i="1"/>
  <c r="AR33" i="12" s="1"/>
  <c r="AV14" i="1"/>
  <c r="AV10" i="1"/>
  <c r="AR14" i="12" s="1"/>
  <c r="BE14" i="2"/>
  <c r="BE12" i="2"/>
  <c r="AR20" i="12" l="1"/>
  <c r="AR54" i="12"/>
  <c r="AK14" i="3"/>
  <c r="AK12" i="3"/>
  <c r="AU16" i="1"/>
  <c r="AQ77" i="12" s="1"/>
  <c r="AU14" i="1"/>
  <c r="AU12" i="1"/>
  <c r="AQ33" i="12" s="1"/>
  <c r="AU10" i="1"/>
  <c r="AQ14" i="12" s="1"/>
  <c r="BD14" i="2"/>
  <c r="BD12" i="2"/>
  <c r="AV7" i="3"/>
  <c r="AW7" i="3" s="1"/>
  <c r="AX7" i="3" s="1"/>
  <c r="AY7" i="3" s="1"/>
  <c r="AZ7" i="3" s="1"/>
  <c r="BA7" i="3" s="1"/>
  <c r="BB7" i="3" s="1"/>
  <c r="BC7" i="3" s="1"/>
  <c r="BD7" i="3" s="1"/>
  <c r="BE7" i="3" s="1"/>
  <c r="AV10" i="3"/>
  <c r="BB16" i="1"/>
  <c r="AX77" i="12" s="1"/>
  <c r="BA16" i="1"/>
  <c r="AW77" i="12" s="1"/>
  <c r="AZ16" i="1"/>
  <c r="AV77" i="12" s="1"/>
  <c r="AZ10" i="1"/>
  <c r="AV14" i="12" s="1"/>
  <c r="AY10" i="1"/>
  <c r="AU14" i="12" s="1"/>
  <c r="AW10" i="1"/>
  <c r="AS14" i="12" s="1"/>
  <c r="BG14" i="2"/>
  <c r="BI14" i="2"/>
  <c r="BJ16" i="2"/>
  <c r="BI16" i="2"/>
  <c r="BG16" i="2"/>
  <c r="BF16" i="2"/>
  <c r="BI12" i="2"/>
  <c r="BG12" i="2"/>
  <c r="BI10" i="2"/>
  <c r="BH10" i="2"/>
  <c r="BG10" i="2"/>
  <c r="BF10" i="2"/>
  <c r="BF7" i="2"/>
  <c r="BG7" i="2" s="1"/>
  <c r="BH7" i="2" s="1"/>
  <c r="BI7" i="2" s="1"/>
  <c r="BJ7" i="2" s="1"/>
  <c r="BK7" i="2" s="1"/>
  <c r="BL7" i="2" s="1"/>
  <c r="BM7" i="2" s="1"/>
  <c r="BN7" i="2" s="1"/>
  <c r="BO7" i="2" s="1"/>
  <c r="BP7" i="2" s="1"/>
  <c r="BQ7" i="2" s="1"/>
  <c r="BR7" i="2" s="1"/>
  <c r="BS7" i="2" s="1"/>
  <c r="BT7" i="2" s="1"/>
  <c r="BU7" i="2" s="1"/>
  <c r="BV7" i="2" s="1"/>
  <c r="BW7" i="2" s="1"/>
  <c r="BX7" i="2" s="1"/>
  <c r="BY7" i="2" s="1"/>
  <c r="AQ20" i="12" l="1"/>
  <c r="AQ54" i="12"/>
  <c r="AN81" i="12"/>
  <c r="AM81" i="12"/>
  <c r="AL81" i="12"/>
  <c r="AK81" i="12"/>
  <c r="AJ81" i="12"/>
  <c r="AI81" i="12"/>
  <c r="AH81" i="12"/>
  <c r="AG81" i="12"/>
  <c r="AF81" i="12"/>
  <c r="AE81" i="12"/>
  <c r="AD81" i="12"/>
  <c r="AC81" i="12"/>
  <c r="AB81" i="12"/>
  <c r="AA81" i="12"/>
  <c r="Z81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0" i="12"/>
  <c r="G82" i="12" s="1"/>
  <c r="AN77" i="12"/>
  <c r="AM77" i="12"/>
  <c r="AL77" i="12"/>
  <c r="AK77" i="12"/>
  <c r="AJ77" i="12"/>
  <c r="AI77" i="12"/>
  <c r="AH77" i="12"/>
  <c r="AG77" i="12"/>
  <c r="AF77" i="12"/>
  <c r="AE77" i="12"/>
  <c r="AD77" i="12"/>
  <c r="AC77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6" i="12"/>
  <c r="AN75" i="12"/>
  <c r="AM75" i="12"/>
  <c r="AL75" i="12"/>
  <c r="AK75" i="12"/>
  <c r="AJ75" i="12"/>
  <c r="AI75" i="12"/>
  <c r="AH75" i="12"/>
  <c r="AG75" i="12"/>
  <c r="AF75" i="12"/>
  <c r="AE75" i="12"/>
  <c r="AD75" i="12"/>
  <c r="AC75" i="12"/>
  <c r="AB75" i="12"/>
  <c r="AA75" i="12"/>
  <c r="Z75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M72" i="12"/>
  <c r="N72" i="12" s="1"/>
  <c r="O72" i="12" s="1"/>
  <c r="P72" i="12" s="1"/>
  <c r="Q72" i="12" s="1"/>
  <c r="R72" i="12" s="1"/>
  <c r="S72" i="12" s="1"/>
  <c r="T72" i="12" s="1"/>
  <c r="U72" i="12" s="1"/>
  <c r="V72" i="12" s="1"/>
  <c r="W72" i="12" s="1"/>
  <c r="X72" i="12" s="1"/>
  <c r="Y72" i="12" s="1"/>
  <c r="Z72" i="12" s="1"/>
  <c r="AA72" i="12" s="1"/>
  <c r="AB72" i="12" s="1"/>
  <c r="AC72" i="12" s="1"/>
  <c r="AD72" i="12" s="1"/>
  <c r="AE72" i="12" s="1"/>
  <c r="AF72" i="12" s="1"/>
  <c r="AG72" i="12" s="1"/>
  <c r="AH72" i="12" s="1"/>
  <c r="AI72" i="12" s="1"/>
  <c r="AJ72" i="12" s="1"/>
  <c r="AK72" i="12" s="1"/>
  <c r="AL72" i="12" s="1"/>
  <c r="AM72" i="12" s="1"/>
  <c r="AN72" i="12" s="1"/>
  <c r="AO72" i="12" s="1"/>
  <c r="AP72" i="12" s="1"/>
  <c r="AQ72" i="12" s="1"/>
  <c r="AR72" i="12" s="1"/>
  <c r="AS72" i="12" s="1"/>
  <c r="AT72" i="12" s="1"/>
  <c r="AU72" i="12" s="1"/>
  <c r="AV72" i="12" s="1"/>
  <c r="AW72" i="12" s="1"/>
  <c r="AX72" i="12" s="1"/>
  <c r="AY72" i="12" s="1"/>
  <c r="AZ72" i="12" s="1"/>
  <c r="BA72" i="12" s="1"/>
  <c r="BB72" i="12" s="1"/>
  <c r="BC72" i="12" s="1"/>
  <c r="BD72" i="12" s="1"/>
  <c r="BE72" i="12" s="1"/>
  <c r="BF72" i="12" s="1"/>
  <c r="AN64" i="12"/>
  <c r="AM64" i="12"/>
  <c r="AL64" i="12"/>
  <c r="AK64" i="12"/>
  <c r="AJ64" i="12"/>
  <c r="AI64" i="12"/>
  <c r="AH64" i="12"/>
  <c r="AG64" i="12"/>
  <c r="AF64" i="12"/>
  <c r="AE64" i="12"/>
  <c r="AD64" i="12"/>
  <c r="AC64" i="12"/>
  <c r="AB64" i="12"/>
  <c r="AA64" i="12"/>
  <c r="Z64" i="12"/>
  <c r="Y64" i="12"/>
  <c r="X64" i="12"/>
  <c r="W64" i="12"/>
  <c r="V64" i="12"/>
  <c r="U64" i="12"/>
  <c r="T64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AN60" i="12"/>
  <c r="AM60" i="12"/>
  <c r="AL60" i="12"/>
  <c r="AK60" i="12"/>
  <c r="AJ60" i="12"/>
  <c r="AI60" i="12"/>
  <c r="AH60" i="12"/>
  <c r="AG60" i="12"/>
  <c r="AF60" i="12"/>
  <c r="AE60" i="12"/>
  <c r="AD60" i="12"/>
  <c r="AC60" i="12"/>
  <c r="AB60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O60" i="12"/>
  <c r="N60" i="12"/>
  <c r="M60" i="12"/>
  <c r="L60" i="12"/>
  <c r="K60" i="12"/>
  <c r="J60" i="12"/>
  <c r="I60" i="12"/>
  <c r="H60" i="12"/>
  <c r="AN58" i="12"/>
  <c r="AM58" i="12"/>
  <c r="AL58" i="12"/>
  <c r="AK58" i="12"/>
  <c r="AJ58" i="12"/>
  <c r="AI58" i="12"/>
  <c r="AH58" i="12"/>
  <c r="AG58" i="12"/>
  <c r="AF58" i="12"/>
  <c r="AE58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7" i="12"/>
  <c r="G63" i="12" s="1"/>
  <c r="AN54" i="12"/>
  <c r="AM54" i="12"/>
  <c r="AL54" i="12"/>
  <c r="AK54" i="12"/>
  <c r="AJ54" i="12"/>
  <c r="AI54" i="12"/>
  <c r="AH54" i="12"/>
  <c r="AG54" i="12"/>
  <c r="AF54" i="12"/>
  <c r="AE54" i="12"/>
  <c r="AD54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3" i="12"/>
  <c r="G55" i="12" s="1"/>
  <c r="G61" i="12" s="1"/>
  <c r="AN52" i="12"/>
  <c r="AM52" i="12"/>
  <c r="AL52" i="12"/>
  <c r="AK52" i="12"/>
  <c r="AJ52" i="12"/>
  <c r="AI52" i="12"/>
  <c r="AH52" i="12"/>
  <c r="AG52" i="12"/>
  <c r="AF52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M49" i="12"/>
  <c r="N49" i="12" s="1"/>
  <c r="O49" i="12" s="1"/>
  <c r="P49" i="12" s="1"/>
  <c r="Q49" i="12" s="1"/>
  <c r="R49" i="12" s="1"/>
  <c r="S49" i="12" s="1"/>
  <c r="T49" i="12" s="1"/>
  <c r="U49" i="12" s="1"/>
  <c r="V49" i="12" s="1"/>
  <c r="W49" i="12" s="1"/>
  <c r="X49" i="12" s="1"/>
  <c r="Y49" i="12" s="1"/>
  <c r="Z49" i="12" s="1"/>
  <c r="AA49" i="12" s="1"/>
  <c r="AB49" i="12" s="1"/>
  <c r="AC49" i="12" s="1"/>
  <c r="AD49" i="12" s="1"/>
  <c r="AE49" i="12" s="1"/>
  <c r="AF49" i="12" s="1"/>
  <c r="AG49" i="12" s="1"/>
  <c r="AH49" i="12" s="1"/>
  <c r="AI49" i="12" s="1"/>
  <c r="AJ49" i="12" s="1"/>
  <c r="AK49" i="12" s="1"/>
  <c r="AL49" i="12" s="1"/>
  <c r="AM49" i="12" s="1"/>
  <c r="AN49" i="12" s="1"/>
  <c r="AO49" i="12" s="1"/>
  <c r="AP49" i="12" s="1"/>
  <c r="AQ49" i="12" s="1"/>
  <c r="AR49" i="12" s="1"/>
  <c r="AS49" i="12" s="1"/>
  <c r="AT49" i="12" s="1"/>
  <c r="AU49" i="12" s="1"/>
  <c r="AV49" i="12" s="1"/>
  <c r="AW49" i="12" s="1"/>
  <c r="AX49" i="12" s="1"/>
  <c r="AY49" i="12" s="1"/>
  <c r="AZ49" i="12" s="1"/>
  <c r="BA49" i="12" s="1"/>
  <c r="BB49" i="12" s="1"/>
  <c r="BC49" i="12" s="1"/>
  <c r="BD49" i="12" s="1"/>
  <c r="BE49" i="12" s="1"/>
  <c r="BF49" i="12" s="1"/>
  <c r="AN35" i="12"/>
  <c r="AM35" i="12"/>
  <c r="AL35" i="12"/>
  <c r="AK35" i="12"/>
  <c r="AJ35" i="12"/>
  <c r="AI35" i="12"/>
  <c r="AH35" i="12"/>
  <c r="AG35" i="12"/>
  <c r="AF35" i="12"/>
  <c r="AE35" i="12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4" i="12"/>
  <c r="AN33" i="12"/>
  <c r="AM33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2" i="12"/>
  <c r="G36" i="12" s="1"/>
  <c r="AN31" i="12"/>
  <c r="AM31" i="12"/>
  <c r="AL31" i="12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M28" i="12"/>
  <c r="N28" i="12" s="1"/>
  <c r="O28" i="12" s="1"/>
  <c r="P28" i="12" s="1"/>
  <c r="Q28" i="12" s="1"/>
  <c r="R28" i="12" s="1"/>
  <c r="S28" i="12" s="1"/>
  <c r="T28" i="12" s="1"/>
  <c r="U28" i="12" s="1"/>
  <c r="V28" i="12" s="1"/>
  <c r="W28" i="12" s="1"/>
  <c r="X28" i="12" s="1"/>
  <c r="Y28" i="12" s="1"/>
  <c r="Z28" i="12" s="1"/>
  <c r="AA28" i="12" s="1"/>
  <c r="AB28" i="12" s="1"/>
  <c r="AC28" i="12" s="1"/>
  <c r="AD28" i="12" s="1"/>
  <c r="AE28" i="12" s="1"/>
  <c r="AF28" i="12" s="1"/>
  <c r="AG28" i="12" s="1"/>
  <c r="AH28" i="12" s="1"/>
  <c r="AI28" i="12" s="1"/>
  <c r="AJ28" i="12" s="1"/>
  <c r="AK28" i="12" s="1"/>
  <c r="AL28" i="12" s="1"/>
  <c r="AM28" i="12" s="1"/>
  <c r="AN28" i="12" s="1"/>
  <c r="AO28" i="12" s="1"/>
  <c r="AP28" i="12" s="1"/>
  <c r="AQ28" i="12" s="1"/>
  <c r="AR28" i="12" s="1"/>
  <c r="AS28" i="12" s="1"/>
  <c r="AT28" i="12" s="1"/>
  <c r="AU28" i="12" s="1"/>
  <c r="AV28" i="12" s="1"/>
  <c r="AW28" i="12" s="1"/>
  <c r="AX28" i="12" s="1"/>
  <c r="AY28" i="12" s="1"/>
  <c r="AZ28" i="12" s="1"/>
  <c r="BA28" i="12" s="1"/>
  <c r="BB28" i="12" s="1"/>
  <c r="BC28" i="12" s="1"/>
  <c r="BD28" i="12" s="1"/>
  <c r="BE28" i="12" s="1"/>
  <c r="BF28" i="12" s="1"/>
  <c r="DF72" i="12" l="1"/>
  <c r="DG72" i="12" s="1"/>
  <c r="DH72" i="12" s="1"/>
  <c r="DI72" i="12" s="1"/>
  <c r="DJ72" i="12" s="1"/>
  <c r="DK72" i="12" s="1"/>
  <c r="DL72" i="12" s="1"/>
  <c r="DM72" i="12" s="1"/>
  <c r="DN72" i="12" s="1"/>
  <c r="DO72" i="12" s="1"/>
  <c r="DP72" i="12" s="1"/>
  <c r="DQ72" i="12" s="1"/>
  <c r="DR72" i="12" s="1"/>
  <c r="DS72" i="12" s="1"/>
  <c r="DT72" i="12" s="1"/>
  <c r="DU72" i="12" s="1"/>
  <c r="DV72" i="12" s="1"/>
  <c r="DW72" i="12" s="1"/>
  <c r="DX72" i="12" s="1"/>
  <c r="DY72" i="12" s="1"/>
  <c r="DZ72" i="12" s="1"/>
  <c r="EA72" i="12" s="1"/>
  <c r="EB72" i="12" s="1"/>
  <c r="EC72" i="12" s="1"/>
  <c r="BG72" i="12"/>
  <c r="BH72" i="12" s="1"/>
  <c r="BI72" i="12" s="1"/>
  <c r="BJ72" i="12" s="1"/>
  <c r="BK72" i="12" s="1"/>
  <c r="BL72" i="12" s="1"/>
  <c r="BM72" i="12" s="1"/>
  <c r="BN72" i="12" s="1"/>
  <c r="BO72" i="12" s="1"/>
  <c r="BP72" i="12" s="1"/>
  <c r="BQ72" i="12" s="1"/>
  <c r="BR72" i="12" s="1"/>
  <c r="BS72" i="12" s="1"/>
  <c r="BT72" i="12" s="1"/>
  <c r="BU72" i="12" s="1"/>
  <c r="BV72" i="12" s="1"/>
  <c r="BW72" i="12" s="1"/>
  <c r="BX72" i="12" s="1"/>
  <c r="BY72" i="12" s="1"/>
  <c r="BZ72" i="12" s="1"/>
  <c r="CA72" i="12" s="1"/>
  <c r="CB72" i="12" s="1"/>
  <c r="CC72" i="12" s="1"/>
  <c r="CD72" i="12" s="1"/>
  <c r="CE72" i="12" s="1"/>
  <c r="CF72" i="12" s="1"/>
  <c r="CG72" i="12" s="1"/>
  <c r="CH72" i="12" s="1"/>
  <c r="CI72" i="12" s="1"/>
  <c r="CJ72" i="12" s="1"/>
  <c r="CK72" i="12" s="1"/>
  <c r="CL72" i="12" s="1"/>
  <c r="CM72" i="12" s="1"/>
  <c r="CN72" i="12" s="1"/>
  <c r="CO72" i="12" s="1"/>
  <c r="CP72" i="12" s="1"/>
  <c r="CQ72" i="12" s="1"/>
  <c r="CR72" i="12" s="1"/>
  <c r="CS72" i="12" s="1"/>
  <c r="CT72" i="12" s="1"/>
  <c r="CU72" i="12" s="1"/>
  <c r="CV72" i="12" s="1"/>
  <c r="CW72" i="12" s="1"/>
  <c r="CX72" i="12" s="1"/>
  <c r="CY72" i="12" s="1"/>
  <c r="CZ72" i="12" s="1"/>
  <c r="DA72" i="12" s="1"/>
  <c r="DB72" i="12" s="1"/>
  <c r="DC72" i="12" s="1"/>
  <c r="DD72" i="12" s="1"/>
  <c r="DE72" i="12" s="1"/>
  <c r="DF49" i="12"/>
  <c r="DG49" i="12" s="1"/>
  <c r="DH49" i="12" s="1"/>
  <c r="DI49" i="12" s="1"/>
  <c r="DJ49" i="12" s="1"/>
  <c r="DK49" i="12" s="1"/>
  <c r="DL49" i="12" s="1"/>
  <c r="DM49" i="12" s="1"/>
  <c r="DN49" i="12" s="1"/>
  <c r="DO49" i="12" s="1"/>
  <c r="DP49" i="12" s="1"/>
  <c r="DQ49" i="12" s="1"/>
  <c r="DR49" i="12" s="1"/>
  <c r="DS49" i="12" s="1"/>
  <c r="DT49" i="12" s="1"/>
  <c r="DU49" i="12" s="1"/>
  <c r="DV49" i="12" s="1"/>
  <c r="DW49" i="12" s="1"/>
  <c r="DX49" i="12" s="1"/>
  <c r="DY49" i="12" s="1"/>
  <c r="DZ49" i="12" s="1"/>
  <c r="EA49" i="12" s="1"/>
  <c r="EB49" i="12" s="1"/>
  <c r="EC49" i="12" s="1"/>
  <c r="BG49" i="12"/>
  <c r="BH49" i="12" s="1"/>
  <c r="BI49" i="12" s="1"/>
  <c r="BJ49" i="12" s="1"/>
  <c r="BK49" i="12" s="1"/>
  <c r="BL49" i="12" s="1"/>
  <c r="BM49" i="12" s="1"/>
  <c r="BN49" i="12" s="1"/>
  <c r="BO49" i="12" s="1"/>
  <c r="BP49" i="12" s="1"/>
  <c r="BQ49" i="12" s="1"/>
  <c r="BR49" i="12" s="1"/>
  <c r="BS49" i="12" s="1"/>
  <c r="BT49" i="12" s="1"/>
  <c r="BU49" i="12" s="1"/>
  <c r="BV49" i="12" s="1"/>
  <c r="BW49" i="12" s="1"/>
  <c r="BX49" i="12" s="1"/>
  <c r="BY49" i="12" s="1"/>
  <c r="BZ49" i="12" s="1"/>
  <c r="CA49" i="12" s="1"/>
  <c r="CB49" i="12" s="1"/>
  <c r="CC49" i="12" s="1"/>
  <c r="CD49" i="12" s="1"/>
  <c r="CE49" i="12" s="1"/>
  <c r="CF49" i="12" s="1"/>
  <c r="CG49" i="12" s="1"/>
  <c r="CH49" i="12" s="1"/>
  <c r="CI49" i="12" s="1"/>
  <c r="CJ49" i="12" s="1"/>
  <c r="CK49" i="12" s="1"/>
  <c r="CL49" i="12" s="1"/>
  <c r="CM49" i="12" s="1"/>
  <c r="CN49" i="12" s="1"/>
  <c r="CO49" i="12" s="1"/>
  <c r="CP49" i="12" s="1"/>
  <c r="CQ49" i="12" s="1"/>
  <c r="CR49" i="12" s="1"/>
  <c r="CS49" i="12" s="1"/>
  <c r="CT49" i="12" s="1"/>
  <c r="CU49" i="12" s="1"/>
  <c r="CV49" i="12" s="1"/>
  <c r="CW49" i="12" s="1"/>
  <c r="CX49" i="12" s="1"/>
  <c r="CY49" i="12" s="1"/>
  <c r="CZ49" i="12" s="1"/>
  <c r="DA49" i="12" s="1"/>
  <c r="DB49" i="12" s="1"/>
  <c r="DC49" i="12" s="1"/>
  <c r="DD49" i="12" s="1"/>
  <c r="DE49" i="12" s="1"/>
  <c r="DF28" i="12"/>
  <c r="DG28" i="12" s="1"/>
  <c r="DH28" i="12" s="1"/>
  <c r="DI28" i="12" s="1"/>
  <c r="DJ28" i="12" s="1"/>
  <c r="DK28" i="12" s="1"/>
  <c r="DL28" i="12" s="1"/>
  <c r="DM28" i="12" s="1"/>
  <c r="DN28" i="12" s="1"/>
  <c r="DO28" i="12" s="1"/>
  <c r="DP28" i="12" s="1"/>
  <c r="DQ28" i="12" s="1"/>
  <c r="DR28" i="12" s="1"/>
  <c r="DS28" i="12" s="1"/>
  <c r="DT28" i="12" s="1"/>
  <c r="DU28" i="12" s="1"/>
  <c r="DV28" i="12" s="1"/>
  <c r="DW28" i="12" s="1"/>
  <c r="DX28" i="12" s="1"/>
  <c r="DY28" i="12" s="1"/>
  <c r="DZ28" i="12" s="1"/>
  <c r="EA28" i="12" s="1"/>
  <c r="EB28" i="12" s="1"/>
  <c r="EC28" i="12" s="1"/>
  <c r="BG28" i="12"/>
  <c r="BH28" i="12" s="1"/>
  <c r="BI28" i="12" s="1"/>
  <c r="BJ28" i="12" s="1"/>
  <c r="BK28" i="12" s="1"/>
  <c r="BL28" i="12" s="1"/>
  <c r="BM28" i="12" s="1"/>
  <c r="BN28" i="12" s="1"/>
  <c r="BO28" i="12" s="1"/>
  <c r="BP28" i="12" s="1"/>
  <c r="BQ28" i="12" s="1"/>
  <c r="BR28" i="12" s="1"/>
  <c r="BS28" i="12" s="1"/>
  <c r="BT28" i="12" s="1"/>
  <c r="BU28" i="12" s="1"/>
  <c r="BV28" i="12" s="1"/>
  <c r="BW28" i="12" s="1"/>
  <c r="BX28" i="12" s="1"/>
  <c r="BY28" i="12" s="1"/>
  <c r="BZ28" i="12" s="1"/>
  <c r="CA28" i="12" s="1"/>
  <c r="CB28" i="12" s="1"/>
  <c r="CC28" i="12" s="1"/>
  <c r="CD28" i="12" s="1"/>
  <c r="CE28" i="12" s="1"/>
  <c r="CF28" i="12" s="1"/>
  <c r="CG28" i="12" s="1"/>
  <c r="CH28" i="12" s="1"/>
  <c r="CI28" i="12" s="1"/>
  <c r="CJ28" i="12" s="1"/>
  <c r="CK28" i="12" s="1"/>
  <c r="CL28" i="12" s="1"/>
  <c r="CM28" i="12" s="1"/>
  <c r="CN28" i="12" s="1"/>
  <c r="CO28" i="12" s="1"/>
  <c r="CP28" i="12" s="1"/>
  <c r="CQ28" i="12" s="1"/>
  <c r="CR28" i="12" s="1"/>
  <c r="CS28" i="12" s="1"/>
  <c r="CT28" i="12" s="1"/>
  <c r="CU28" i="12" s="1"/>
  <c r="CV28" i="12" s="1"/>
  <c r="CW28" i="12" s="1"/>
  <c r="CX28" i="12" s="1"/>
  <c r="CY28" i="12" s="1"/>
  <c r="CZ28" i="12" s="1"/>
  <c r="DA28" i="12" s="1"/>
  <c r="DB28" i="12" s="1"/>
  <c r="DC28" i="12" s="1"/>
  <c r="DD28" i="12" s="1"/>
  <c r="DE28" i="12" s="1"/>
  <c r="G38" i="12"/>
  <c r="G40" i="12"/>
  <c r="G59" i="12"/>
  <c r="AJ16" i="3"/>
  <c r="AJ14" i="3"/>
  <c r="AJ12" i="3"/>
  <c r="AT16" i="1"/>
  <c r="AP77" i="12" s="1"/>
  <c r="AT10" i="1"/>
  <c r="AP14" i="12" s="1"/>
  <c r="BC16" i="2"/>
  <c r="BC12" i="2"/>
  <c r="BC14" i="2"/>
  <c r="R14" i="11" l="1"/>
  <c r="Q14" i="11"/>
  <c r="P14" i="11"/>
  <c r="O14" i="11"/>
  <c r="N14" i="11"/>
  <c r="M14" i="11"/>
  <c r="L14" i="11"/>
  <c r="K14" i="11"/>
  <c r="J14" i="11"/>
  <c r="I14" i="11"/>
  <c r="AS60" i="12" s="1"/>
  <c r="H14" i="11"/>
  <c r="AR60" i="12" s="1"/>
  <c r="G14" i="11"/>
  <c r="AQ60" i="12" s="1"/>
  <c r="F14" i="11"/>
  <c r="AP60" i="12" s="1"/>
  <c r="G7" i="11"/>
  <c r="H7" i="11" s="1"/>
  <c r="I7" i="11" s="1"/>
  <c r="J7" i="11" s="1"/>
  <c r="K7" i="11" s="1"/>
  <c r="L7" i="11" s="1"/>
  <c r="M7" i="11" s="1"/>
  <c r="AT60" i="12" l="1"/>
  <c r="AW60" i="12"/>
  <c r="AU60" i="12"/>
  <c r="AV60" i="12"/>
  <c r="AX60" i="12"/>
  <c r="AY60" i="12"/>
  <c r="AZ60" i="12"/>
  <c r="BC60" i="12"/>
  <c r="BA60" i="12"/>
  <c r="BB60" i="12"/>
  <c r="N7" i="1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AT7" i="11" s="1"/>
  <c r="AU7" i="11" s="1"/>
  <c r="AV7" i="11" s="1"/>
  <c r="AW7" i="11" s="1"/>
  <c r="AX7" i="11" s="1"/>
  <c r="AY7" i="11" s="1"/>
  <c r="AZ7" i="11" s="1"/>
  <c r="BA7" i="11" s="1"/>
  <c r="BB7" i="11" s="1"/>
  <c r="BC7" i="11" s="1"/>
  <c r="BD7" i="11" s="1"/>
  <c r="BE7" i="11" s="1"/>
  <c r="BF7" i="11" s="1"/>
  <c r="BG7" i="11" s="1"/>
  <c r="BH7" i="11" s="1"/>
  <c r="BI7" i="11" s="1"/>
  <c r="BJ7" i="11" s="1"/>
  <c r="BK7" i="11" s="1"/>
  <c r="T10" i="8"/>
  <c r="V10" i="9"/>
  <c r="U10" i="9"/>
  <c r="U10" i="5"/>
  <c r="AI14" i="3"/>
  <c r="AI12" i="3"/>
  <c r="BB10" i="2"/>
  <c r="BB7" i="2" l="1"/>
  <c r="AI7" i="3"/>
  <c r="AH16" i="3"/>
  <c r="AH14" i="3"/>
  <c r="AH10" i="3"/>
  <c r="AU16" i="3"/>
  <c r="AT16" i="3"/>
  <c r="AS16" i="3"/>
  <c r="AR16" i="3"/>
  <c r="AP16" i="3"/>
  <c r="AN16" i="3"/>
  <c r="AL16" i="3"/>
  <c r="AK16" i="3"/>
  <c r="AI16" i="3"/>
  <c r="AU14" i="3"/>
  <c r="AT14" i="3"/>
  <c r="AS14" i="3"/>
  <c r="AR14" i="3"/>
  <c r="AO14" i="3"/>
  <c r="AN14" i="3"/>
  <c r="AU12" i="3"/>
  <c r="AT12" i="3"/>
  <c r="AS12" i="3"/>
  <c r="AR12" i="3"/>
  <c r="AN12" i="3"/>
  <c r="AH12" i="3"/>
  <c r="AU10" i="3"/>
  <c r="AT10" i="3"/>
  <c r="AR10" i="3"/>
  <c r="AP10" i="3"/>
  <c r="AO10" i="3"/>
  <c r="AN10" i="3"/>
  <c r="AM10" i="3"/>
  <c r="AL10" i="3"/>
  <c r="AK10" i="3"/>
  <c r="AJ10" i="3"/>
  <c r="AI10" i="3"/>
  <c r="AR16" i="1"/>
  <c r="AR14" i="1"/>
  <c r="AR12" i="1"/>
  <c r="AR10" i="1"/>
  <c r="BA16" i="2"/>
  <c r="BA14" i="2"/>
  <c r="BA12" i="2"/>
  <c r="BA10" i="2"/>
  <c r="V7" i="9" l="1"/>
  <c r="AQ12" i="1"/>
  <c r="AQ14" i="1"/>
  <c r="AG16" i="3"/>
  <c r="AG10" i="3"/>
  <c r="AG12" i="3"/>
  <c r="AG14" i="3"/>
  <c r="AZ14" i="2"/>
  <c r="AZ12" i="2"/>
  <c r="AF12" i="3" l="1"/>
  <c r="AF14" i="3"/>
  <c r="AF16" i="3"/>
  <c r="AP12" i="1"/>
  <c r="AP14" i="1"/>
  <c r="AP10" i="1"/>
  <c r="AY11" i="2"/>
  <c r="AY10" i="2"/>
  <c r="AC16" i="3" l="1"/>
  <c r="AD16" i="3"/>
  <c r="AE14" i="3"/>
  <c r="AE12" i="3"/>
  <c r="AE10" i="3"/>
  <c r="AE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AO14" i="1"/>
  <c r="AO12" i="1"/>
  <c r="AX14" i="2"/>
  <c r="AX12" i="2"/>
  <c r="AX10" i="2"/>
  <c r="AD14" i="3" l="1"/>
  <c r="AD12" i="3"/>
  <c r="AD10" i="3"/>
  <c r="AN12" i="1"/>
  <c r="AN14" i="1"/>
  <c r="AW10" i="2"/>
  <c r="AR10" i="9" l="1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G7" i="9"/>
  <c r="H7" i="9" s="1"/>
  <c r="I7" i="9" s="1"/>
  <c r="J7" i="9" s="1"/>
  <c r="K7" i="9" s="1"/>
  <c r="L7" i="9" s="1"/>
  <c r="M7" i="9" s="1"/>
  <c r="N7" i="9" s="1"/>
  <c r="O7" i="9" s="1"/>
  <c r="P7" i="9" s="1"/>
  <c r="Q7" i="9" s="1"/>
  <c r="R7" i="9" s="1"/>
  <c r="S7" i="9" s="1"/>
  <c r="T7" i="9" s="1"/>
  <c r="U7" i="9" s="1"/>
  <c r="W7" i="9" s="1"/>
  <c r="X7" i="9" s="1"/>
  <c r="Y7" i="9" s="1"/>
  <c r="Z7" i="9" s="1"/>
  <c r="AA7" i="9" s="1"/>
  <c r="AB7" i="9" s="1"/>
  <c r="AC7" i="9" s="1"/>
  <c r="AD7" i="9" s="1"/>
  <c r="AE7" i="9" s="1"/>
  <c r="AF7" i="9" s="1"/>
  <c r="AG7" i="9" s="1"/>
  <c r="AH7" i="9" s="1"/>
  <c r="AI7" i="9" s="1"/>
  <c r="AJ7" i="9" s="1"/>
  <c r="AK7" i="9" s="1"/>
  <c r="AL7" i="9" s="1"/>
  <c r="AM7" i="9" s="1"/>
  <c r="AN7" i="9" s="1"/>
  <c r="AO7" i="9" s="1"/>
  <c r="AP7" i="9" s="1"/>
  <c r="AQ7" i="9" s="1"/>
  <c r="AC12" i="3" l="1"/>
  <c r="AC14" i="3"/>
  <c r="AC10" i="3"/>
  <c r="AM14" i="1"/>
  <c r="AM12" i="1"/>
  <c r="AV14" i="2"/>
  <c r="AV12" i="2"/>
  <c r="AV10" i="2"/>
  <c r="AM16" i="1"/>
  <c r="AM10" i="1"/>
  <c r="AS16" i="1"/>
  <c r="AO77" i="12" s="1"/>
  <c r="AQ16" i="1"/>
  <c r="AP16" i="1"/>
  <c r="AO16" i="1"/>
  <c r="AN16" i="1"/>
  <c r="AT14" i="1"/>
  <c r="AS14" i="1"/>
  <c r="AT12" i="1"/>
  <c r="AP33" i="12" s="1"/>
  <c r="AS12" i="1"/>
  <c r="AO33" i="12" s="1"/>
  <c r="AS10" i="1"/>
  <c r="AO14" i="12" s="1"/>
  <c r="AQ10" i="1"/>
  <c r="AO10" i="1"/>
  <c r="AN10" i="1"/>
  <c r="AO20" i="12" l="1"/>
  <c r="AO54" i="12"/>
  <c r="AP20" i="12"/>
  <c r="AP54" i="12"/>
  <c r="AL16" i="1"/>
  <c r="AB14" i="3" l="1"/>
  <c r="AB12" i="3"/>
  <c r="AB10" i="3"/>
  <c r="AL14" i="1"/>
  <c r="AL12" i="1"/>
  <c r="AL10" i="1"/>
  <c r="AK10" i="1"/>
  <c r="AK12" i="1"/>
  <c r="AK14" i="1"/>
  <c r="AK16" i="1"/>
  <c r="AU10" i="2" l="1"/>
  <c r="AU16" i="2"/>
  <c r="AU14" i="2"/>
  <c r="AU12" i="2"/>
  <c r="AT10" i="2"/>
  <c r="AS14" i="2" l="1"/>
  <c r="AS12" i="2"/>
  <c r="AJ14" i="1"/>
  <c r="AJ12" i="1"/>
  <c r="Z14" i="3"/>
  <c r="Z12" i="3"/>
  <c r="L10" i="8"/>
  <c r="M10" i="8"/>
  <c r="N10" i="8"/>
  <c r="O10" i="8"/>
  <c r="P10" i="8"/>
  <c r="Q10" i="8"/>
  <c r="R10" i="8"/>
  <c r="S10" i="8"/>
  <c r="U10" i="8"/>
  <c r="AO64" i="12" s="1"/>
  <c r="V10" i="8"/>
  <c r="AP64" i="12" s="1"/>
  <c r="W10" i="8"/>
  <c r="AQ64" i="12" s="1"/>
  <c r="X10" i="8"/>
  <c r="AR64" i="12" s="1"/>
  <c r="Y10" i="8"/>
  <c r="AS64" i="12" s="1"/>
  <c r="W10" i="3"/>
  <c r="AJ10" i="1"/>
  <c r="AJ16" i="1"/>
  <c r="AS10" i="2"/>
  <c r="BD16" i="2" l="1"/>
  <c r="BB16" i="2"/>
  <c r="AZ16" i="2"/>
  <c r="AY16" i="2"/>
  <c r="AX16" i="2"/>
  <c r="AW16" i="2"/>
  <c r="AV16" i="2"/>
  <c r="BB14" i="2"/>
  <c r="AY14" i="2"/>
  <c r="AW14" i="2"/>
  <c r="BB12" i="2"/>
  <c r="AY12" i="2"/>
  <c r="AW12" i="2"/>
  <c r="BE10" i="2"/>
  <c r="BD10" i="2"/>
  <c r="BC10" i="2"/>
  <c r="AZ10" i="2"/>
  <c r="AT12" i="2"/>
  <c r="AT14" i="2"/>
  <c r="AT16" i="2"/>
  <c r="Y12" i="3"/>
  <c r="Y14" i="3"/>
  <c r="X14" i="3"/>
  <c r="X12" i="3"/>
  <c r="X10" i="3"/>
  <c r="AA14" i="3"/>
  <c r="AA12" i="3"/>
  <c r="AF10" i="3"/>
  <c r="AA10" i="3"/>
  <c r="Z10" i="3"/>
  <c r="AI10" i="1"/>
  <c r="AI12" i="1"/>
  <c r="AI14" i="1"/>
  <c r="AI16" i="1"/>
  <c r="AH10" i="1"/>
  <c r="AH12" i="1"/>
  <c r="AH14" i="1"/>
  <c r="AH16" i="1"/>
  <c r="AR14" i="2"/>
  <c r="AR12" i="2"/>
  <c r="AR10" i="2"/>
  <c r="AQ10" i="2"/>
  <c r="AQ12" i="2"/>
  <c r="AQ14" i="2"/>
  <c r="AQ16" i="2"/>
  <c r="W14" i="3" l="1"/>
  <c r="W12" i="3"/>
  <c r="AG16" i="1"/>
  <c r="AP10" i="2"/>
  <c r="AG10" i="1"/>
  <c r="V14" i="3" l="1"/>
  <c r="V12" i="3"/>
  <c r="AF16" i="1"/>
  <c r="AF10" i="1"/>
  <c r="AN12" i="2"/>
  <c r="AN14" i="2"/>
  <c r="K10" i="8"/>
  <c r="J10" i="8"/>
  <c r="I10" i="8"/>
  <c r="H10" i="8"/>
  <c r="G10" i="8"/>
  <c r="F10" i="8"/>
  <c r="G7" i="8"/>
  <c r="H7" i="8" s="1"/>
  <c r="I7" i="8" s="1"/>
  <c r="J7" i="8" s="1"/>
  <c r="K7" i="8" s="1"/>
  <c r="L7" i="8" s="1"/>
  <c r="M7" i="8" s="1"/>
  <c r="O7" i="8" l="1"/>
  <c r="P7" i="8" s="1"/>
  <c r="Q7" i="8" s="1"/>
  <c r="R7" i="8" s="1"/>
  <c r="S7" i="8" s="1"/>
  <c r="T7" i="8" s="1"/>
  <c r="N7" i="8"/>
  <c r="U14" i="3"/>
  <c r="U7" i="8" l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AH7" i="8" s="1"/>
  <c r="AI7" i="8" s="1"/>
  <c r="AJ7" i="8" s="1"/>
  <c r="AK7" i="8" s="1"/>
  <c r="AL7" i="8" s="1"/>
  <c r="AM7" i="8" s="1"/>
  <c r="AN7" i="8" s="1"/>
  <c r="AO7" i="8" s="1"/>
  <c r="AP7" i="8" s="1"/>
  <c r="AQ7" i="8" s="1"/>
  <c r="AR7" i="8" s="1"/>
  <c r="AS7" i="8" s="1"/>
  <c r="AT7" i="8" s="1"/>
  <c r="AU7" i="8" s="1"/>
  <c r="AV7" i="8" s="1"/>
  <c r="AW7" i="8" s="1"/>
  <c r="AX7" i="8" s="1"/>
  <c r="AY7" i="8" s="1"/>
  <c r="AZ7" i="8" s="1"/>
  <c r="BA7" i="8" s="1"/>
  <c r="BB7" i="8" s="1"/>
  <c r="BC7" i="8" s="1"/>
  <c r="BD7" i="8" s="1"/>
  <c r="BE7" i="8" s="1"/>
  <c r="BF7" i="8" s="1"/>
  <c r="BG7" i="8" s="1"/>
  <c r="BH7" i="8" s="1"/>
  <c r="BI7" i="8" s="1"/>
  <c r="BJ7" i="8" s="1"/>
  <c r="BK7" i="8" s="1"/>
  <c r="BL7" i="8" s="1"/>
  <c r="BM7" i="8" s="1"/>
  <c r="BN7" i="8" s="1"/>
  <c r="BO7" i="8" s="1"/>
  <c r="BP7" i="8" s="1"/>
  <c r="BQ7" i="8" s="1"/>
  <c r="BR7" i="8" s="1"/>
  <c r="BS7" i="8" s="1"/>
  <c r="BT7" i="8" s="1"/>
  <c r="BU7" i="8" s="1"/>
  <c r="BV7" i="8" s="1"/>
  <c r="BW7" i="8" s="1"/>
  <c r="BX7" i="8" s="1"/>
  <c r="BY7" i="8" s="1"/>
  <c r="BZ7" i="8" s="1"/>
  <c r="CA7" i="8" s="1"/>
  <c r="CB7" i="8" s="1"/>
  <c r="CC7" i="8" s="1"/>
  <c r="CD7" i="8" s="1"/>
  <c r="CE7" i="8" s="1"/>
  <c r="CF7" i="8" s="1"/>
  <c r="CG7" i="8" s="1"/>
  <c r="U12" i="3"/>
  <c r="AE16" i="1"/>
  <c r="AE12" i="1"/>
  <c r="AE10" i="1"/>
  <c r="AD12" i="1" l="1"/>
  <c r="T14" i="3"/>
  <c r="T12" i="3"/>
  <c r="AL12" i="2" l="1"/>
  <c r="AL14" i="2"/>
  <c r="AD16" i="1"/>
  <c r="AD10" i="1"/>
  <c r="AC12" i="1"/>
  <c r="AC16" i="1" l="1"/>
  <c r="S14" i="3"/>
  <c r="S12" i="3"/>
  <c r="AC10" i="1"/>
  <c r="AB16" i="1"/>
  <c r="AB14" i="1"/>
  <c r="AC14" i="1"/>
  <c r="AD14" i="1"/>
  <c r="AE14" i="1"/>
  <c r="AF14" i="1"/>
  <c r="AG14" i="1"/>
  <c r="AB12" i="1"/>
  <c r="AF12" i="1"/>
  <c r="AG12" i="1"/>
  <c r="AB10" i="1"/>
  <c r="AL10" i="2"/>
  <c r="AM10" i="2"/>
  <c r="AN10" i="2"/>
  <c r="AO10" i="2"/>
  <c r="AM12" i="2"/>
  <c r="AO12" i="2"/>
  <c r="AP12" i="2"/>
  <c r="AM14" i="2"/>
  <c r="AO14" i="2"/>
  <c r="AP14" i="2"/>
  <c r="AL16" i="2"/>
  <c r="AM16" i="2"/>
  <c r="AN16" i="2"/>
  <c r="AO16" i="2"/>
  <c r="AP16" i="2"/>
  <c r="AR16" i="2"/>
  <c r="AS16" i="2"/>
  <c r="AM10" i="5" l="1"/>
  <c r="AN10" i="5"/>
  <c r="AO10" i="5"/>
  <c r="AP10" i="5"/>
  <c r="AQ10" i="5"/>
  <c r="AR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G7" i="5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l="1"/>
  <c r="W7" i="5" s="1"/>
  <c r="X7" i="5" s="1"/>
  <c r="Y7" i="5" s="1"/>
  <c r="Z7" i="5" s="1"/>
  <c r="AA7" i="5" s="1"/>
  <c r="AB7" i="5" s="1"/>
  <c r="AC7" i="5" s="1"/>
  <c r="AD7" i="5" s="1"/>
  <c r="AE7" i="5" s="1"/>
  <c r="AF7" i="5" s="1"/>
  <c r="AG7" i="5" s="1"/>
  <c r="AH7" i="5" s="1"/>
  <c r="AI7" i="5" s="1"/>
  <c r="AJ7" i="5" s="1"/>
  <c r="AK7" i="5" s="1"/>
  <c r="AL7" i="5" s="1"/>
  <c r="AM7" i="5" s="1"/>
  <c r="AN7" i="5" s="1"/>
  <c r="AO7" i="5" s="1"/>
  <c r="AP7" i="5" s="1"/>
  <c r="AQ7" i="5" s="1"/>
  <c r="AK12" i="2"/>
  <c r="AK14" i="2"/>
  <c r="AK16" i="2"/>
  <c r="AA14" i="1" l="1"/>
  <c r="AA12" i="1"/>
  <c r="AJ16" i="2"/>
  <c r="AJ12" i="2"/>
  <c r="AJ14" i="2"/>
  <c r="Z12" i="1" l="1"/>
  <c r="AI12" i="2"/>
  <c r="AI10" i="2"/>
  <c r="Y10" i="1" l="1"/>
  <c r="Y12" i="1"/>
  <c r="Y14" i="1"/>
  <c r="Y16" i="1"/>
  <c r="X10" i="1"/>
  <c r="X12" i="1"/>
  <c r="X14" i="1"/>
  <c r="X16" i="1"/>
  <c r="AH12" i="2"/>
  <c r="AH10" i="2"/>
  <c r="AG10" i="2"/>
  <c r="AG12" i="2"/>
  <c r="V16" i="1" l="1"/>
  <c r="V14" i="1"/>
  <c r="V12" i="1"/>
  <c r="N14" i="3" l="1"/>
  <c r="O14" i="3"/>
  <c r="P14" i="3"/>
  <c r="Q14" i="3"/>
  <c r="R14" i="3"/>
  <c r="N12" i="3"/>
  <c r="O12" i="3"/>
  <c r="P12" i="3"/>
  <c r="Q12" i="3"/>
  <c r="R12" i="3"/>
  <c r="N10" i="3"/>
  <c r="O10" i="3"/>
  <c r="P10" i="3"/>
  <c r="Q10" i="3"/>
  <c r="R10" i="3"/>
  <c r="S10" i="3"/>
  <c r="T10" i="3"/>
  <c r="U10" i="3"/>
  <c r="V10" i="3"/>
  <c r="Y10" i="3"/>
  <c r="Z10" i="2"/>
  <c r="Z12" i="2"/>
  <c r="Z14" i="2"/>
  <c r="Z16" i="2"/>
  <c r="AA10" i="2"/>
  <c r="AB10" i="2"/>
  <c r="AC10" i="2"/>
  <c r="AD10" i="2"/>
  <c r="AE10" i="2"/>
  <c r="AF10" i="2"/>
  <c r="AA12" i="2"/>
  <c r="AB12" i="2"/>
  <c r="AC12" i="2"/>
  <c r="AD12" i="2"/>
  <c r="AE12" i="2"/>
  <c r="AF12" i="2"/>
  <c r="AA14" i="2"/>
  <c r="AB14" i="2"/>
  <c r="AC14" i="2"/>
  <c r="AD14" i="2"/>
  <c r="AE14" i="2"/>
  <c r="AF14" i="2"/>
  <c r="AA16" i="2"/>
  <c r="AB16" i="2"/>
  <c r="AC16" i="2"/>
  <c r="AD16" i="2"/>
  <c r="AE16" i="2"/>
  <c r="AF16" i="2"/>
  <c r="AI16" i="2"/>
  <c r="AH16" i="2"/>
  <c r="AG16" i="2"/>
  <c r="AI14" i="2"/>
  <c r="AH14" i="2"/>
  <c r="AG14" i="2"/>
  <c r="AK10" i="2"/>
  <c r="AJ10" i="2"/>
  <c r="AA16" i="1"/>
  <c r="Z16" i="1"/>
  <c r="W16" i="1"/>
  <c r="Z14" i="1"/>
  <c r="W14" i="1"/>
  <c r="W12" i="1"/>
  <c r="AA10" i="1"/>
  <c r="Z10" i="1"/>
  <c r="W10" i="1"/>
  <c r="M14" i="3" l="1"/>
  <c r="M12" i="3"/>
  <c r="M10" i="3"/>
  <c r="L14" i="3"/>
  <c r="L12" i="3"/>
  <c r="I16" i="2"/>
  <c r="I14" i="2"/>
  <c r="I12" i="2"/>
  <c r="I10" i="2"/>
  <c r="H14" i="2"/>
  <c r="H12" i="2"/>
  <c r="H10" i="2"/>
  <c r="U14" i="1" l="1"/>
  <c r="U12" i="1" l="1"/>
  <c r="U10" i="1"/>
  <c r="G16" i="2"/>
  <c r="G12" i="2"/>
  <c r="G10" i="2"/>
  <c r="K14" i="3"/>
  <c r="K12" i="3"/>
  <c r="K10" i="3"/>
  <c r="H16" i="2" l="1"/>
  <c r="J16" i="2"/>
  <c r="K16" i="2"/>
  <c r="L16" i="2"/>
  <c r="M16" i="2"/>
  <c r="G14" i="2"/>
  <c r="J14" i="2"/>
  <c r="K14" i="2"/>
  <c r="L14" i="2"/>
  <c r="M14" i="2"/>
  <c r="J12" i="2"/>
  <c r="K12" i="2"/>
  <c r="L12" i="2"/>
  <c r="M12" i="2"/>
  <c r="J10" i="2"/>
  <c r="K10" i="2"/>
  <c r="L10" i="2"/>
  <c r="M10" i="2"/>
  <c r="F10" i="2"/>
  <c r="I7" i="2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AG7" i="2" s="1"/>
  <c r="AH7" i="2" s="1"/>
  <c r="AI7" i="2" s="1"/>
  <c r="AJ7" i="2" s="1"/>
  <c r="AK7" i="2" s="1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BC7" i="2" s="1"/>
  <c r="BD7" i="2" s="1"/>
  <c r="BE7" i="2" s="1"/>
  <c r="P10" i="2"/>
  <c r="Q10" i="2"/>
  <c r="P12" i="2"/>
  <c r="Q12" i="2"/>
  <c r="P14" i="2"/>
  <c r="Q14" i="2"/>
  <c r="P16" i="2"/>
  <c r="Q16" i="2"/>
  <c r="V10" i="1" l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I10" i="3" l="1"/>
  <c r="H14" i="3" l="1"/>
  <c r="H12" i="3"/>
  <c r="H10" i="3"/>
  <c r="I14" i="3"/>
  <c r="I12" i="3"/>
  <c r="J14" i="3"/>
  <c r="J12" i="3"/>
  <c r="J10" i="3"/>
  <c r="G14" i="3"/>
  <c r="G12" i="3"/>
  <c r="G10" i="3"/>
  <c r="G7" i="3"/>
  <c r="H7" i="3" s="1"/>
  <c r="I7" i="3" s="1"/>
  <c r="J7" i="3" s="1"/>
  <c r="K7" i="3" s="1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AG7" i="3" s="1"/>
  <c r="AH7" i="3" s="1"/>
  <c r="AJ7" i="3" s="1"/>
  <c r="AK7" i="3" s="1"/>
  <c r="AL7" i="3" s="1"/>
  <c r="AM7" i="3" s="1"/>
  <c r="AN7" i="3" s="1"/>
  <c r="AO7" i="3" s="1"/>
  <c r="AP7" i="3" s="1"/>
  <c r="AQ7" i="3" s="1"/>
  <c r="AR7" i="3" s="1"/>
  <c r="AS7" i="3" s="1"/>
  <c r="AT7" i="3" s="1"/>
  <c r="AU7" i="3" s="1"/>
  <c r="F16" i="2" l="1"/>
  <c r="F14" i="2"/>
  <c r="F12" i="2"/>
  <c r="T14" i="1"/>
  <c r="T12" i="1"/>
  <c r="S14" i="1"/>
  <c r="R14" i="1"/>
  <c r="S12" i="1"/>
  <c r="R12" i="1"/>
  <c r="E12" i="2"/>
  <c r="E16" i="2"/>
  <c r="E14" i="2"/>
  <c r="E10" i="2"/>
  <c r="F14" i="3" l="1"/>
  <c r="F12" i="3"/>
  <c r="F10" i="3"/>
  <c r="Q14" i="1"/>
  <c r="Q12" i="1"/>
  <c r="D14" i="2" l="1"/>
  <c r="D12" i="2"/>
  <c r="E13" i="3" l="1"/>
  <c r="E11" i="3"/>
  <c r="E15" i="3" s="1"/>
  <c r="L10" i="3"/>
  <c r="D16" i="2" l="1"/>
  <c r="D10" i="2"/>
  <c r="Y16" i="2" l="1"/>
  <c r="X16" i="2"/>
  <c r="W16" i="2"/>
  <c r="V16" i="2"/>
  <c r="U16" i="2"/>
  <c r="T16" i="2"/>
  <c r="S16" i="2"/>
  <c r="R16" i="2"/>
  <c r="O16" i="2"/>
  <c r="N16" i="2"/>
  <c r="C15" i="2"/>
  <c r="Y14" i="2"/>
  <c r="X14" i="2"/>
  <c r="W14" i="2"/>
  <c r="V14" i="2"/>
  <c r="U14" i="2"/>
  <c r="T14" i="2"/>
  <c r="S14" i="2"/>
  <c r="R14" i="2"/>
  <c r="O14" i="2"/>
  <c r="N14" i="2"/>
  <c r="C13" i="2"/>
  <c r="Y12" i="2"/>
  <c r="X12" i="2"/>
  <c r="W12" i="2"/>
  <c r="V12" i="2"/>
  <c r="U12" i="2"/>
  <c r="T12" i="2"/>
  <c r="S12" i="2"/>
  <c r="R12" i="2"/>
  <c r="O12" i="2"/>
  <c r="N12" i="2"/>
  <c r="C11" i="2"/>
  <c r="Y10" i="2"/>
  <c r="X10" i="2"/>
  <c r="W10" i="2"/>
  <c r="V10" i="2"/>
  <c r="U10" i="2"/>
  <c r="T10" i="2"/>
  <c r="S10" i="2"/>
  <c r="R10" i="2"/>
  <c r="O10" i="2"/>
  <c r="N10" i="2"/>
  <c r="N12" i="1"/>
  <c r="O12" i="1"/>
  <c r="P12" i="1"/>
  <c r="N14" i="1"/>
  <c r="O14" i="1"/>
  <c r="P14" i="1"/>
  <c r="M14" i="1"/>
  <c r="M12" i="1"/>
  <c r="L7" i="1" l="1"/>
  <c r="M7" i="1" s="1"/>
  <c r="N7" i="1" s="1"/>
  <c r="O7" i="1" s="1"/>
  <c r="P7" i="1" s="1"/>
  <c r="Q7" i="1" s="1"/>
  <c r="R7" i="1" s="1"/>
  <c r="E11" i="1"/>
  <c r="G12" i="1"/>
  <c r="H12" i="1"/>
  <c r="I12" i="1"/>
  <c r="J12" i="1"/>
  <c r="K12" i="1"/>
  <c r="L12" i="1"/>
  <c r="E13" i="1"/>
  <c r="G14" i="1"/>
  <c r="H14" i="1"/>
  <c r="I14" i="1"/>
  <c r="J14" i="1"/>
  <c r="K14" i="1"/>
  <c r="L14" i="1"/>
  <c r="E15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S7" i="1" l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BE16" i="2"/>
  <c r="AS7" i="1" l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BH7" i="1" s="1"/>
  <c r="BI7" i="1" s="1"/>
  <c r="BJ7" i="1" s="1"/>
  <c r="BK7" i="1" s="1"/>
  <c r="BL7" i="1" s="1"/>
  <c r="BM7" i="1" s="1"/>
  <c r="BN7" i="1" s="1"/>
  <c r="BO7" i="1" s="1"/>
  <c r="BP7" i="1" s="1"/>
  <c r="BQ7" i="1" s="1"/>
  <c r="BR7" i="1" s="1"/>
  <c r="BS7" i="1" s="1"/>
  <c r="BT7" i="1" s="1"/>
  <c r="BU7" i="1" s="1"/>
  <c r="BV7" i="1" s="1"/>
  <c r="BW7" i="1" s="1"/>
  <c r="BX7" i="1" s="1"/>
  <c r="BY7" i="1" s="1"/>
  <c r="BZ7" i="1" s="1"/>
  <c r="CA7" i="1" s="1"/>
  <c r="CB7" i="1" s="1"/>
  <c r="CC7" i="1" s="1"/>
  <c r="CD7" i="1" s="1"/>
  <c r="CE7" i="1" s="1"/>
  <c r="CF7" i="1" s="1"/>
  <c r="CG7" i="1" s="1"/>
  <c r="CH7" i="1" s="1"/>
  <c r="CI7" i="1" s="1"/>
  <c r="CJ7" i="1" s="1"/>
  <c r="CK7" i="1" s="1"/>
  <c r="CL7" i="1" s="1"/>
  <c r="CM7" i="1" s="1"/>
  <c r="CN7" i="1" s="1"/>
  <c r="CO7" i="1" s="1"/>
  <c r="CP7" i="1" s="1"/>
  <c r="CQ7" i="1" s="1"/>
  <c r="CR7" i="1" s="1"/>
  <c r="CS7" i="1" s="1"/>
  <c r="CT7" i="1" s="1"/>
  <c r="CU7" i="1" s="1"/>
  <c r="CV7" i="1" s="1"/>
  <c r="CW7" i="1" s="1"/>
  <c r="CX7" i="1" s="1"/>
  <c r="BQ64" i="12" l="1"/>
  <c r="BQ63" i="12"/>
</calcChain>
</file>

<file path=xl/sharedStrings.xml><?xml version="1.0" encoding="utf-8"?>
<sst xmlns="http://schemas.openxmlformats.org/spreadsheetml/2006/main" count="849" uniqueCount="200">
  <si>
    <t>Description</t>
  </si>
  <si>
    <t>MP</t>
  </si>
  <si>
    <t>MODEL</t>
  </si>
  <si>
    <t>Hari ke-</t>
  </si>
  <si>
    <t>Std</t>
  </si>
  <si>
    <t>Act</t>
  </si>
  <si>
    <t>Output/H</t>
  </si>
  <si>
    <t>TARGET RUMP UP LEAN</t>
  </si>
  <si>
    <t>Sewing</t>
  </si>
  <si>
    <t>Comshare</t>
  </si>
  <si>
    <t>Output/Day</t>
  </si>
  <si>
    <t>TARGET RAMP UP LEAN</t>
  </si>
  <si>
    <t>Cutting+Prep</t>
  </si>
  <si>
    <t>Assembly</t>
  </si>
  <si>
    <t>Computer Stitching</t>
  </si>
  <si>
    <t xml:space="preserve"> </t>
  </si>
  <si>
    <t>Day</t>
  </si>
  <si>
    <t>Output</t>
  </si>
  <si>
    <t>Model 603</t>
  </si>
  <si>
    <t>Cell 4</t>
  </si>
  <si>
    <t>Cell 10</t>
  </si>
  <si>
    <t>Cell 5</t>
  </si>
  <si>
    <t>Cell 5 Shift 2</t>
  </si>
  <si>
    <t>Buffer Zone</t>
  </si>
  <si>
    <t>Model 204</t>
  </si>
  <si>
    <t>Cell 7 Shift 2</t>
  </si>
  <si>
    <t>Target : 120 Prs/H</t>
  </si>
  <si>
    <t>Cell 11</t>
  </si>
  <si>
    <t>SEWING</t>
  </si>
  <si>
    <t>ASSEMBLY</t>
  </si>
  <si>
    <t>Cell</t>
  </si>
  <si>
    <t>CUTTING + PREPERATION</t>
  </si>
  <si>
    <t>COMPUTER STITCHING</t>
  </si>
  <si>
    <t>CELL</t>
  </si>
  <si>
    <t>Target: 120 Prs</t>
  </si>
  <si>
    <t>Cell 9</t>
  </si>
  <si>
    <t>Cell 3</t>
  </si>
  <si>
    <t>Cutting</t>
  </si>
  <si>
    <t>CELL 3</t>
  </si>
  <si>
    <t>SUMMARY ISSUE IN PRODUCTION MODEL 603</t>
  </si>
  <si>
    <t>TANGGAL</t>
  </si>
  <si>
    <t>AREA</t>
  </si>
  <si>
    <t>ISSUE</t>
  </si>
  <si>
    <t>REASON</t>
  </si>
  <si>
    <t>REMARK</t>
  </si>
  <si>
    <t>NUMBER</t>
  </si>
  <si>
    <t>COMP. STITCHING</t>
  </si>
  <si>
    <t>Bottleneck Mudguard</t>
  </si>
  <si>
    <t>CYCLE TIME TERLALU LAMA / BOTTLENECK</t>
  </si>
  <si>
    <t>Kesulitan jika jalan artikel berbahan leather</t>
  </si>
  <si>
    <t>STITCHING</t>
  </si>
  <si>
    <t>Running Input</t>
  </si>
  <si>
    <t>LOW SETTING</t>
  </si>
  <si>
    <t>Upper nganjuk quantity sedikit</t>
  </si>
  <si>
    <t>RAMP UP SKILL</t>
  </si>
  <si>
    <t>Jalan artikel 2FP (Beda benang)</t>
  </si>
  <si>
    <t>Tidak ada input dari Sewing</t>
  </si>
  <si>
    <t>Bottleneck Middle Eyestay</t>
  </si>
  <si>
    <t>KURANG MP / ABSENT</t>
  </si>
  <si>
    <t>Terdapat operator yang tidak masuk/resign</t>
  </si>
  <si>
    <t>Jalan artikel Leather</t>
  </si>
  <si>
    <t>Bottleneck Foxing Ulay</t>
  </si>
  <si>
    <t>Banyak operator yang tidak masuk/resign</t>
  </si>
  <si>
    <t>Bottleneck Foxing Atas</t>
  </si>
  <si>
    <t xml:space="preserve">WIP menumpuk </t>
  </si>
  <si>
    <t>CUTTING</t>
  </si>
  <si>
    <t>DOWNTIME MACHINE</t>
  </si>
  <si>
    <t>ISSUE QUALITY</t>
  </si>
  <si>
    <t>Operator sering bergonta-ganti</t>
  </si>
  <si>
    <t>Bottleneck Vamp Olay</t>
  </si>
  <si>
    <t>9 mp</t>
  </si>
  <si>
    <t>Low Skill MP</t>
  </si>
  <si>
    <t>New MP</t>
  </si>
  <si>
    <t>Input Sewing sedikit</t>
  </si>
  <si>
    <t>Bottleneck Tip Accent</t>
  </si>
  <si>
    <t>Output tidak sesuai target</t>
  </si>
  <si>
    <t>Terdapat beberapa operator yang dipinjam</t>
  </si>
  <si>
    <t>Working Period</t>
  </si>
  <si>
    <t>3 Month</t>
  </si>
  <si>
    <t>STD MP</t>
  </si>
  <si>
    <t>ACT MP</t>
  </si>
  <si>
    <t>Gap</t>
  </si>
  <si>
    <t>Cell D6</t>
  </si>
  <si>
    <t>2 Month</t>
  </si>
  <si>
    <t>1 Month</t>
  </si>
  <si>
    <t>&lt; 1 Month</t>
  </si>
  <si>
    <t>TARGET RAMP UP</t>
  </si>
  <si>
    <t>Jalan artikel berbahan leather</t>
  </si>
  <si>
    <t>Jalan artikel 2FP (Beda benang + Leather)</t>
  </si>
  <si>
    <t>Margin tidak sesuai standart</t>
  </si>
  <si>
    <t>Mayoritas operator &lt; dari 3 bulan</t>
  </si>
  <si>
    <t>6 mp</t>
  </si>
  <si>
    <t xml:space="preserve">    </t>
  </si>
  <si>
    <t>,</t>
  </si>
  <si>
    <t>`</t>
  </si>
  <si>
    <t>Tanggal</t>
  </si>
  <si>
    <t>PIC</t>
  </si>
  <si>
    <t>Process</t>
  </si>
  <si>
    <t>No. COS</t>
  </si>
  <si>
    <t>Type Mesin</t>
  </si>
  <si>
    <t>CT</t>
  </si>
  <si>
    <t>Target</t>
  </si>
  <si>
    <t>Jam ke 1</t>
  </si>
  <si>
    <t>Jam ke 2</t>
  </si>
  <si>
    <t>Jam ke 3</t>
  </si>
  <si>
    <t>Jam ke 4</t>
  </si>
  <si>
    <t>Jam ke 5</t>
  </si>
  <si>
    <t>Jam ke 6</t>
  </si>
  <si>
    <t>Jam ke 7</t>
  </si>
  <si>
    <t>Jam ke 8</t>
  </si>
  <si>
    <t>Total</t>
  </si>
  <si>
    <t>PRASETYO</t>
  </si>
  <si>
    <t>Middle Eyestay</t>
  </si>
  <si>
    <t>CS 3020</t>
  </si>
  <si>
    <t>Vamp Olay + Tip Accent</t>
  </si>
  <si>
    <t>CS 6040</t>
  </si>
  <si>
    <t>Foxing Ulay + Collar L&amp;M</t>
  </si>
  <si>
    <t>Mudguard LM + Tip Ulay + Top Eyestay</t>
  </si>
  <si>
    <t>Project Support Mudguard Manual</t>
  </si>
  <si>
    <t>ACTION PLAN</t>
  </si>
  <si>
    <t>07:00-08:00</t>
  </si>
  <si>
    <t>08:00-09:00</t>
  </si>
  <si>
    <t>09:00-10:00</t>
  </si>
  <si>
    <t>10:00-11:00</t>
  </si>
  <si>
    <t>11:00-12:00</t>
  </si>
  <si>
    <t>13:00-14:00</t>
  </si>
  <si>
    <t>14:00-15:00</t>
  </si>
  <si>
    <t>PIC : PRASETYO</t>
  </si>
  <si>
    <t>15:00-16:00</t>
  </si>
  <si>
    <t>1 (Sofi)</t>
  </si>
  <si>
    <t>CS 1510</t>
  </si>
  <si>
    <t>2 (Nina)</t>
  </si>
  <si>
    <t>1 (Laura)</t>
  </si>
  <si>
    <t>2 (Titik)</t>
  </si>
  <si>
    <t>3 (Anis)</t>
  </si>
  <si>
    <t>1 (Ichda)</t>
  </si>
  <si>
    <t>2 (Sunarni)</t>
  </si>
  <si>
    <t>3 (Usni)</t>
  </si>
  <si>
    <t>1 (Nia)</t>
  </si>
  <si>
    <t>2 (Nia*)</t>
  </si>
  <si>
    <t>3 (Putri)</t>
  </si>
  <si>
    <t>4 (Viona)</t>
  </si>
  <si>
    <t xml:space="preserve">     </t>
  </si>
  <si>
    <t>CELL 4</t>
  </si>
  <si>
    <t xml:space="preserve">  </t>
  </si>
  <si>
    <t>1 (Anik)</t>
  </si>
  <si>
    <t>2 (Manda)</t>
  </si>
  <si>
    <t>1 (Rahma)</t>
  </si>
  <si>
    <t>2 (Tiara)</t>
  </si>
  <si>
    <t>3 (Dina)</t>
  </si>
  <si>
    <t>1 (Can)</t>
  </si>
  <si>
    <t>2 (Dinda)</t>
  </si>
  <si>
    <t>3 (Sintang)</t>
  </si>
  <si>
    <t>1 (Putri)</t>
  </si>
  <si>
    <t>2 (Ima)</t>
  </si>
  <si>
    <t>3 (Pungki)</t>
  </si>
  <si>
    <t>4 (Nay)</t>
  </si>
  <si>
    <t>CELL 5</t>
  </si>
  <si>
    <t>PIC: PRASETYO</t>
  </si>
  <si>
    <t>1 (Yanti)</t>
  </si>
  <si>
    <t>1 (Hesti)</t>
  </si>
  <si>
    <t>2 (Sulum)</t>
  </si>
  <si>
    <t>3 (Tania)</t>
  </si>
  <si>
    <t>1 (Ema)</t>
  </si>
  <si>
    <t>2 (Rahma)</t>
  </si>
  <si>
    <t>3 (Tasy)</t>
  </si>
  <si>
    <t>1 (Dini)</t>
  </si>
  <si>
    <t>2 (Fatima)</t>
  </si>
  <si>
    <t>3 (Wulan)</t>
  </si>
  <si>
    <t>4 (Wanda)</t>
  </si>
  <si>
    <t>CELL 9</t>
  </si>
  <si>
    <t>1 (Rekno)</t>
  </si>
  <si>
    <t>1 (Deski)</t>
  </si>
  <si>
    <t>2 (Izza)</t>
  </si>
  <si>
    <t>3 (Ainun)</t>
  </si>
  <si>
    <t>1 (Ita)</t>
  </si>
  <si>
    <t>2 (Nanik)</t>
  </si>
  <si>
    <t>3 (Rizma)</t>
  </si>
  <si>
    <t>1 (Fitri)</t>
  </si>
  <si>
    <t>2 (Siti)</t>
  </si>
  <si>
    <t>3 (Tri)</t>
  </si>
  <si>
    <t>4 (Puji)</t>
  </si>
  <si>
    <t>CELL 10</t>
  </si>
  <si>
    <t>-</t>
  </si>
  <si>
    <t>Work Period</t>
  </si>
  <si>
    <t>4 Month</t>
  </si>
  <si>
    <t>Operator</t>
  </si>
  <si>
    <t>16 Month</t>
  </si>
  <si>
    <t>44 Month</t>
  </si>
  <si>
    <t>36 Month</t>
  </si>
  <si>
    <t>14 Month</t>
  </si>
  <si>
    <t>26 Month</t>
  </si>
  <si>
    <t>46 Month</t>
  </si>
  <si>
    <t>24 Month</t>
  </si>
  <si>
    <t>8 Month</t>
  </si>
  <si>
    <t>No Output Daily</t>
  </si>
  <si>
    <t xml:space="preserve">Tidak ada MDO </t>
  </si>
  <si>
    <t>Line up tidak sesuai standard</t>
  </si>
  <si>
    <t>Didominasi oleh operator baru</t>
  </si>
  <si>
    <t>Operator terlalu lama setting margin/line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</si>
</sst>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m/d;@"/>
    <numFmt numFmtId="165" formatCode="_(* #,##0_);_(* \(#,##0\);_(* &quot;-&quot;??_);_(@_)"/>
    <numFmt numFmtId="166" formatCode="_-* #,##0_-;\-* #,##0_-;_-* &quot;-&quot;??_-;_-@_-"/>
    <numFmt numFmtId="167" formatCode="d/m/yyyy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36"/>
      <color theme="1"/>
      <name val="Century Gothic"/>
      <family val="2"/>
    </font>
    <font>
      <sz val="11"/>
      <color theme="1"/>
      <name val="Century Gothic"/>
      <family val="2"/>
    </font>
    <font>
      <b/>
      <sz val="14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entury Gothic"/>
      <family val="2"/>
    </font>
    <font>
      <b/>
      <sz val="12"/>
      <name val="Calibri"/>
      <family val="2"/>
      <scheme val="minor"/>
    </font>
    <font>
      <sz val="11"/>
      <name val="Calibri Light"/>
      <family val="2"/>
      <scheme val="maj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A7D00"/>
      <name val="Calibri"/>
      <family val="2"/>
    </font>
    <font>
      <b/>
      <sz val="11"/>
      <color theme="1"/>
      <name val="Calibri"/>
      <family val="2"/>
      <scheme val="minor"/>
    </font>
    <font>
      <sz val="6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11"/>
      <color theme="1"/>
      <name val="Calibri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entury Gothic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CCCFF"/>
        <bgColor indexed="64"/>
      </patternFill>
    </fill>
  </fills>
  <borders count="6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thick">
        <color rgb="FF000000"/>
      </left>
      <right style="dotted">
        <color rgb="FF000000"/>
      </right>
      <top/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ck">
        <color rgb="FF000000"/>
      </bottom>
      <diagonal/>
    </border>
    <border>
      <left style="dotted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dotted">
        <color rgb="FF000000"/>
      </right>
      <top/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9" fontId="1" fillId="0" borderId="0" applyFont="0" applyFill="0" applyBorder="0" applyAlignment="0" applyProtection="0"/>
    <xf numFmtId="0" fontId="31" fillId="0" borderId="0"/>
  </cellStyleXfs>
  <cellXfs count="345">
    <xf numFmtId="0" fontId="0" fillId="0" borderId="0" xfId="0"/>
    <xf numFmtId="0" fontId="4" fillId="3" borderId="0" xfId="0" applyFont="1" applyFill="1"/>
    <xf numFmtId="0" fontId="6" fillId="3" borderId="0" xfId="0" applyFont="1" applyFill="1"/>
    <xf numFmtId="0" fontId="6" fillId="4" borderId="2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165" fontId="0" fillId="0" borderId="2" xfId="1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5" fontId="8" fillId="0" borderId="2" xfId="1" applyNumberFormat="1" applyFont="1" applyFill="1" applyBorder="1" applyAlignment="1">
      <alignment horizontal="left" vertical="center"/>
    </xf>
    <xf numFmtId="165" fontId="8" fillId="0" borderId="2" xfId="1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65" fontId="2" fillId="2" borderId="2" xfId="2" applyNumberFormat="1" applyBorder="1" applyAlignment="1">
      <alignment horizontal="center" vertical="center"/>
    </xf>
    <xf numFmtId="0" fontId="0" fillId="0" borderId="0" xfId="0" applyFont="1"/>
    <xf numFmtId="0" fontId="9" fillId="3" borderId="0" xfId="0" applyFont="1" applyFill="1"/>
    <xf numFmtId="0" fontId="7" fillId="0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165" fontId="11" fillId="0" borderId="2" xfId="1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4" borderId="4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43" fontId="8" fillId="3" borderId="2" xfId="1" applyFont="1" applyFill="1" applyBorder="1" applyAlignment="1">
      <alignment horizontal="center" vertical="center"/>
    </xf>
    <xf numFmtId="166" fontId="0" fillId="0" borderId="13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2" fontId="0" fillId="0" borderId="0" xfId="0" applyNumberFormat="1"/>
    <xf numFmtId="0" fontId="5" fillId="3" borderId="0" xfId="0" applyFont="1" applyFill="1" applyAlignment="1"/>
    <xf numFmtId="0" fontId="6" fillId="3" borderId="0" xfId="0" applyFont="1" applyFill="1" applyAlignment="1"/>
    <xf numFmtId="0" fontId="3" fillId="3" borderId="0" xfId="0" applyFont="1" applyFill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65" fontId="8" fillId="3" borderId="2" xfId="1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164" fontId="6" fillId="4" borderId="5" xfId="0" applyNumberFormat="1" applyFont="1" applyFill="1" applyBorder="1" applyAlignment="1">
      <alignment horizontal="center" vertical="center"/>
    </xf>
    <xf numFmtId="165" fontId="2" fillId="2" borderId="5" xfId="2" applyNumberForma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vertical="center"/>
    </xf>
    <xf numFmtId="0" fontId="6" fillId="4" borderId="13" xfId="0" applyFont="1" applyFill="1" applyBorder="1" applyAlignment="1">
      <alignment horizontal="center" vertical="center"/>
    </xf>
    <xf numFmtId="164" fontId="6" fillId="4" borderId="13" xfId="0" applyNumberFormat="1" applyFont="1" applyFill="1" applyBorder="1" applyAlignment="1">
      <alignment horizontal="center" vertical="center"/>
    </xf>
    <xf numFmtId="164" fontId="15" fillId="4" borderId="13" xfId="0" applyNumberFormat="1" applyFont="1" applyFill="1" applyBorder="1" applyAlignment="1">
      <alignment horizontal="center" vertical="center"/>
    </xf>
    <xf numFmtId="165" fontId="13" fillId="0" borderId="13" xfId="1" applyNumberFormat="1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165" fontId="13" fillId="0" borderId="13" xfId="1" applyNumberFormat="1" applyFont="1" applyFill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165" fontId="14" fillId="2" borderId="13" xfId="2" applyNumberFormat="1" applyFont="1" applyBorder="1" applyAlignment="1">
      <alignment horizontal="center" vertical="center"/>
    </xf>
    <xf numFmtId="43" fontId="14" fillId="2" borderId="13" xfId="2" applyNumberFormat="1" applyFont="1" applyBorder="1" applyAlignment="1">
      <alignment horizontal="center" vertical="center"/>
    </xf>
    <xf numFmtId="165" fontId="12" fillId="0" borderId="13" xfId="1" applyNumberFormat="1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165" fontId="2" fillId="2" borderId="13" xfId="2" applyNumberForma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6" fillId="3" borderId="0" xfId="0" applyFont="1" applyFill="1" applyBorder="1"/>
    <xf numFmtId="0" fontId="0" fillId="0" borderId="0" xfId="0" applyBorder="1"/>
    <xf numFmtId="0" fontId="0" fillId="0" borderId="0" xfId="0" applyFont="1" applyBorder="1"/>
    <xf numFmtId="0" fontId="9" fillId="3" borderId="0" xfId="0" applyFont="1" applyFill="1" applyBorder="1"/>
    <xf numFmtId="165" fontId="8" fillId="0" borderId="13" xfId="1" applyNumberFormat="1" applyFont="1" applyFill="1" applyBorder="1" applyAlignment="1">
      <alignment horizontal="left" vertical="center"/>
    </xf>
    <xf numFmtId="165" fontId="8" fillId="0" borderId="13" xfId="1" applyNumberFormat="1" applyFont="1" applyFill="1" applyBorder="1" applyAlignment="1">
      <alignment horizontal="center" vertical="center"/>
    </xf>
    <xf numFmtId="43" fontId="8" fillId="3" borderId="13" xfId="1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165" fontId="0" fillId="0" borderId="13" xfId="1" applyNumberFormat="1" applyFont="1" applyFill="1" applyBorder="1" applyAlignment="1">
      <alignment horizontal="center" vertical="center"/>
    </xf>
    <xf numFmtId="0" fontId="0" fillId="3" borderId="13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165" fontId="2" fillId="2" borderId="13" xfId="2" applyNumberFormat="1" applyFont="1" applyBorder="1" applyAlignment="1">
      <alignment horizontal="center" vertical="center"/>
    </xf>
    <xf numFmtId="165" fontId="11" fillId="0" borderId="13" xfId="1" applyNumberFormat="1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43" fontId="0" fillId="3" borderId="13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0" fontId="3" fillId="3" borderId="0" xfId="0" applyFont="1" applyFill="1" applyAlignment="1">
      <alignment horizontal="center" vertical="center"/>
    </xf>
    <xf numFmtId="0" fontId="0" fillId="0" borderId="0" xfId="0" applyAlignment="1"/>
    <xf numFmtId="0" fontId="11" fillId="3" borderId="3" xfId="0" applyFont="1" applyFill="1" applyBorder="1" applyAlignment="1">
      <alignment horizontal="center" vertical="center"/>
    </xf>
    <xf numFmtId="0" fontId="4" fillId="3" borderId="0" xfId="0" applyFont="1" applyFill="1" applyBorder="1"/>
    <xf numFmtId="0" fontId="16" fillId="0" borderId="0" xfId="0" applyFont="1" applyBorder="1" applyAlignment="1"/>
    <xf numFmtId="0" fontId="0" fillId="0" borderId="0" xfId="0" applyBorder="1" applyAlignment="1"/>
    <xf numFmtId="0" fontId="3" fillId="3" borderId="0" xfId="0" applyFont="1" applyFill="1" applyBorder="1" applyAlignment="1">
      <alignment vertical="center"/>
    </xf>
    <xf numFmtId="0" fontId="6" fillId="4" borderId="14" xfId="0" applyFont="1" applyFill="1" applyBorder="1" applyAlignment="1">
      <alignment horizontal="center" vertical="center"/>
    </xf>
    <xf numFmtId="165" fontId="8" fillId="0" borderId="14" xfId="1" applyNumberFormat="1" applyFont="1" applyFill="1" applyBorder="1" applyAlignment="1">
      <alignment horizontal="center" vertical="center"/>
    </xf>
    <xf numFmtId="165" fontId="2" fillId="2" borderId="14" xfId="2" applyNumberFormat="1" applyBorder="1" applyAlignment="1">
      <alignment horizontal="center" vertical="center"/>
    </xf>
    <xf numFmtId="0" fontId="0" fillId="3" borderId="14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165" fontId="2" fillId="2" borderId="27" xfId="2" applyNumberFormat="1" applyBorder="1" applyAlignment="1">
      <alignment horizontal="center" vertical="center"/>
    </xf>
    <xf numFmtId="0" fontId="0" fillId="3" borderId="27" xfId="0" applyFont="1" applyFill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/>
    </xf>
    <xf numFmtId="43" fontId="13" fillId="3" borderId="13" xfId="1" applyFont="1" applyFill="1" applyBorder="1" applyAlignment="1">
      <alignment horizontal="center" vertical="center"/>
    </xf>
    <xf numFmtId="165" fontId="0" fillId="0" borderId="0" xfId="0" applyNumberFormat="1"/>
    <xf numFmtId="0" fontId="3" fillId="3" borderId="0" xfId="0" applyFont="1" applyFill="1" applyAlignment="1">
      <alignment horizontal="center" vertical="center"/>
    </xf>
    <xf numFmtId="165" fontId="13" fillId="3" borderId="13" xfId="0" applyNumberFormat="1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165" fontId="8" fillId="0" borderId="5" xfId="1" applyNumberFormat="1" applyFont="1" applyFill="1" applyBorder="1" applyAlignment="1">
      <alignment horizontal="center" vertical="center"/>
    </xf>
    <xf numFmtId="165" fontId="8" fillId="3" borderId="13" xfId="1" applyNumberFormat="1" applyFont="1" applyFill="1" applyBorder="1" applyAlignment="1">
      <alignment horizontal="center" vertical="center"/>
    </xf>
    <xf numFmtId="0" fontId="6" fillId="3" borderId="22" xfId="0" applyFont="1" applyFill="1" applyBorder="1"/>
    <xf numFmtId="43" fontId="11" fillId="3" borderId="13" xfId="1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43" fontId="2" fillId="2" borderId="13" xfId="2" applyNumberFormat="1" applyBorder="1" applyAlignment="1">
      <alignment horizontal="center" vertical="center"/>
    </xf>
    <xf numFmtId="165" fontId="18" fillId="0" borderId="13" xfId="1" applyNumberFormat="1" applyFont="1" applyFill="1" applyBorder="1" applyAlignment="1">
      <alignment horizontal="center" vertical="center"/>
    </xf>
    <xf numFmtId="165" fontId="19" fillId="3" borderId="13" xfId="0" applyNumberFormat="1" applyFont="1" applyFill="1" applyBorder="1" applyAlignment="1">
      <alignment horizontal="center" vertical="center"/>
    </xf>
    <xf numFmtId="165" fontId="19" fillId="0" borderId="13" xfId="1" applyNumberFormat="1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3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0" borderId="22" xfId="0" applyBorder="1"/>
    <xf numFmtId="165" fontId="0" fillId="0" borderId="13" xfId="1" applyNumberFormat="1" applyFont="1" applyBorder="1" applyAlignment="1">
      <alignment horizontal="center" vertical="center"/>
    </xf>
    <xf numFmtId="165" fontId="18" fillId="0" borderId="2" xfId="1" applyNumberFormat="1" applyFont="1" applyFill="1" applyBorder="1" applyAlignment="1">
      <alignment horizontal="center" vertical="center"/>
    </xf>
    <xf numFmtId="165" fontId="18" fillId="0" borderId="2" xfId="1" applyNumberFormat="1" applyFont="1" applyFill="1" applyBorder="1" applyAlignment="1">
      <alignment horizontal="left" vertical="center"/>
    </xf>
    <xf numFmtId="166" fontId="20" fillId="0" borderId="13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13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2" fillId="0" borderId="0" xfId="0" applyFont="1"/>
    <xf numFmtId="0" fontId="23" fillId="5" borderId="13" xfId="0" applyFont="1" applyFill="1" applyBorder="1" applyAlignment="1">
      <alignment horizontal="center" vertical="center"/>
    </xf>
    <xf numFmtId="0" fontId="21" fillId="5" borderId="13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3" xfId="0" applyFont="1" applyFill="1" applyBorder="1"/>
    <xf numFmtId="0" fontId="0" fillId="6" borderId="13" xfId="0" applyFill="1" applyBorder="1"/>
    <xf numFmtId="0" fontId="12" fillId="0" borderId="13" xfId="0" applyFont="1" applyBorder="1" applyAlignment="1">
      <alignment horizontal="center" vertical="center"/>
    </xf>
    <xf numFmtId="0" fontId="12" fillId="0" borderId="13" xfId="0" applyFont="1" applyFill="1" applyBorder="1"/>
    <xf numFmtId="0" fontId="12" fillId="0" borderId="13" xfId="0" applyFont="1" applyBorder="1" applyAlignment="1">
      <alignment horizontal="left"/>
    </xf>
    <xf numFmtId="14" fontId="12" fillId="0" borderId="29" xfId="0" applyNumberFormat="1" applyFont="1" applyBorder="1" applyAlignment="1">
      <alignment vertical="center"/>
    </xf>
    <xf numFmtId="0" fontId="12" fillId="7" borderId="13" xfId="0" applyFont="1" applyFill="1" applyBorder="1" applyAlignment="1">
      <alignment horizontal="center" vertical="center"/>
    </xf>
    <xf numFmtId="0" fontId="12" fillId="7" borderId="13" xfId="0" applyFont="1" applyFill="1" applyBorder="1"/>
    <xf numFmtId="0" fontId="12" fillId="7" borderId="13" xfId="0" applyFont="1" applyFill="1" applyBorder="1" applyAlignment="1"/>
    <xf numFmtId="0" fontId="12" fillId="7" borderId="13" xfId="0" applyFont="1" applyFill="1" applyBorder="1" applyAlignment="1">
      <alignment horizontal="left"/>
    </xf>
    <xf numFmtId="43" fontId="2" fillId="2" borderId="13" xfId="2" applyNumberFormat="1" applyFont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2" fillId="8" borderId="13" xfId="0" applyFont="1" applyFill="1" applyBorder="1"/>
    <xf numFmtId="0" fontId="12" fillId="8" borderId="13" xfId="0" applyFont="1" applyFill="1" applyBorder="1" applyAlignment="1">
      <alignment horizontal="left"/>
    </xf>
    <xf numFmtId="0" fontId="12" fillId="9" borderId="13" xfId="0" applyFont="1" applyFill="1" applyBorder="1" applyAlignment="1">
      <alignment horizontal="center" vertical="center"/>
    </xf>
    <xf numFmtId="0" fontId="12" fillId="9" borderId="13" xfId="0" applyFont="1" applyFill="1" applyBorder="1"/>
    <xf numFmtId="0" fontId="12" fillId="9" borderId="13" xfId="0" applyFont="1" applyFill="1" applyBorder="1" applyAlignment="1">
      <alignment horizontal="left"/>
    </xf>
    <xf numFmtId="0" fontId="15" fillId="0" borderId="0" xfId="0" applyFont="1"/>
    <xf numFmtId="0" fontId="0" fillId="3" borderId="13" xfId="0" applyFont="1" applyFill="1" applyBorder="1" applyAlignment="1">
      <alignment horizontal="center" vertical="center"/>
    </xf>
    <xf numFmtId="166" fontId="15" fillId="0" borderId="13" xfId="0" applyNumberFormat="1" applyFont="1" applyFill="1" applyBorder="1" applyAlignment="1">
      <alignment horizontal="center" vertical="center"/>
    </xf>
    <xf numFmtId="165" fontId="24" fillId="0" borderId="13" xfId="1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165" fontId="24" fillId="0" borderId="13" xfId="1" applyNumberFormat="1" applyFont="1" applyFill="1" applyBorder="1" applyAlignment="1">
      <alignment horizontal="left" vertical="center"/>
    </xf>
    <xf numFmtId="0" fontId="15" fillId="0" borderId="13" xfId="0" applyFont="1" applyBorder="1" applyAlignment="1">
      <alignment horizontal="center" vertical="center"/>
    </xf>
    <xf numFmtId="43" fontId="24" fillId="3" borderId="13" xfId="1" applyFont="1" applyFill="1" applyBorder="1" applyAlignment="1">
      <alignment horizontal="center" vertical="center"/>
    </xf>
    <xf numFmtId="165" fontId="24" fillId="3" borderId="13" xfId="1" applyNumberFormat="1" applyFont="1" applyFill="1" applyBorder="1" applyAlignment="1">
      <alignment horizontal="center" vertical="center"/>
    </xf>
    <xf numFmtId="165" fontId="25" fillId="3" borderId="13" xfId="1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5" fontId="26" fillId="0" borderId="13" xfId="1" applyNumberFormat="1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165" fontId="27" fillId="0" borderId="13" xfId="1" applyNumberFormat="1" applyFont="1" applyFill="1" applyBorder="1" applyAlignment="1">
      <alignment horizontal="center" vertical="center"/>
    </xf>
    <xf numFmtId="165" fontId="28" fillId="0" borderId="13" xfId="1" applyNumberFormat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12" fillId="10" borderId="13" xfId="0" applyFont="1" applyFill="1" applyBorder="1" applyAlignment="1">
      <alignment horizontal="center" vertical="center"/>
    </xf>
    <xf numFmtId="0" fontId="12" fillId="10" borderId="13" xfId="0" applyFont="1" applyFill="1" applyBorder="1"/>
    <xf numFmtId="0" fontId="12" fillId="10" borderId="13" xfId="0" applyFont="1" applyFill="1" applyBorder="1" applyAlignment="1">
      <alignment horizontal="left"/>
    </xf>
    <xf numFmtId="0" fontId="12" fillId="11" borderId="13" xfId="0" applyFont="1" applyFill="1" applyBorder="1" applyAlignment="1">
      <alignment horizontal="center" vertical="center"/>
    </xf>
    <xf numFmtId="0" fontId="12" fillId="11" borderId="13" xfId="0" applyFont="1" applyFill="1" applyBorder="1"/>
    <xf numFmtId="0" fontId="12" fillId="11" borderId="13" xfId="0" applyFont="1" applyFill="1" applyBorder="1" applyAlignment="1">
      <alignment horizontal="left"/>
    </xf>
    <xf numFmtId="165" fontId="0" fillId="3" borderId="13" xfId="1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5" fontId="30" fillId="0" borderId="13" xfId="1" applyNumberFormat="1" applyFont="1" applyFill="1" applyBorder="1" applyAlignment="1">
      <alignment horizontal="center" vertical="center"/>
    </xf>
    <xf numFmtId="165" fontId="15" fillId="0" borderId="13" xfId="1" applyNumberFormat="1" applyFont="1" applyBorder="1" applyAlignment="1">
      <alignment horizontal="center" vertical="center"/>
    </xf>
    <xf numFmtId="9" fontId="0" fillId="0" borderId="0" xfId="3" applyFont="1"/>
    <xf numFmtId="0" fontId="15" fillId="0" borderId="13" xfId="0" applyFont="1" applyBorder="1" applyAlignment="1">
      <alignment horizontal="center" vertical="center"/>
    </xf>
    <xf numFmtId="14" fontId="12" fillId="12" borderId="28" xfId="0" applyNumberFormat="1" applyFont="1" applyFill="1" applyBorder="1" applyAlignment="1">
      <alignment vertical="center"/>
    </xf>
    <xf numFmtId="0" fontId="12" fillId="12" borderId="13" xfId="0" applyFont="1" applyFill="1" applyBorder="1" applyAlignment="1">
      <alignment horizontal="center" vertical="center"/>
    </xf>
    <xf numFmtId="0" fontId="12" fillId="12" borderId="13" xfId="0" applyFont="1" applyFill="1" applyBorder="1"/>
    <xf numFmtId="0" fontId="12" fillId="12" borderId="13" xfId="0" applyFont="1" applyFill="1" applyBorder="1" applyAlignment="1">
      <alignment horizontal="left"/>
    </xf>
    <xf numFmtId="0" fontId="32" fillId="0" borderId="0" xfId="4" applyFont="1" applyAlignment="1"/>
    <xf numFmtId="0" fontId="31" fillId="0" borderId="0" xfId="4" applyFont="1" applyAlignment="1"/>
    <xf numFmtId="0" fontId="32" fillId="0" borderId="0" xfId="4" applyFont="1" applyAlignment="1">
      <alignment horizontal="center"/>
    </xf>
    <xf numFmtId="0" fontId="31" fillId="0" borderId="62" xfId="4" applyFont="1" applyBorder="1" applyAlignment="1"/>
    <xf numFmtId="0" fontId="34" fillId="19" borderId="61" xfId="0" applyFont="1" applyFill="1" applyBorder="1" applyAlignment="1">
      <alignment horizontal="center" wrapText="1"/>
    </xf>
    <xf numFmtId="0" fontId="31" fillId="0" borderId="0" xfId="4" applyFont="1" applyFill="1" applyAlignment="1"/>
    <xf numFmtId="0" fontId="34" fillId="20" borderId="61" xfId="0" applyFont="1" applyFill="1" applyBorder="1" applyAlignment="1">
      <alignment horizontal="center" wrapText="1"/>
    </xf>
    <xf numFmtId="0" fontId="36" fillId="0" borderId="0" xfId="4" applyFont="1" applyAlignment="1"/>
    <xf numFmtId="0" fontId="33" fillId="0" borderId="0" xfId="4" applyFont="1" applyAlignment="1">
      <alignment horizontal="center"/>
    </xf>
    <xf numFmtId="0" fontId="34" fillId="14" borderId="31" xfId="4" applyFont="1" applyFill="1" applyBorder="1" applyAlignment="1">
      <alignment horizontal="center"/>
    </xf>
    <xf numFmtId="0" fontId="34" fillId="14" borderId="32" xfId="4" applyFont="1" applyFill="1" applyBorder="1" applyAlignment="1">
      <alignment horizontal="center"/>
    </xf>
    <xf numFmtId="0" fontId="34" fillId="15" borderId="32" xfId="4" applyFont="1" applyFill="1" applyBorder="1" applyAlignment="1">
      <alignment horizontal="center"/>
    </xf>
    <xf numFmtId="0" fontId="34" fillId="15" borderId="33" xfId="4" applyFont="1" applyFill="1" applyBorder="1" applyAlignment="1">
      <alignment horizontal="center"/>
    </xf>
    <xf numFmtId="0" fontId="34" fillId="0" borderId="36" xfId="4" applyFont="1" applyBorder="1" applyAlignment="1"/>
    <xf numFmtId="0" fontId="34" fillId="0" borderId="36" xfId="4" applyFont="1" applyBorder="1" applyAlignment="1">
      <alignment horizontal="center"/>
    </xf>
    <xf numFmtId="0" fontId="34" fillId="0" borderId="36" xfId="4" applyFont="1" applyBorder="1" applyAlignment="1">
      <alignment horizontal="center" vertical="center"/>
    </xf>
    <xf numFmtId="0" fontId="33" fillId="0" borderId="36" xfId="4" applyFont="1" applyBorder="1" applyAlignment="1">
      <alignment horizontal="center"/>
    </xf>
    <xf numFmtId="0" fontId="33" fillId="0" borderId="37" xfId="4" applyFont="1" applyBorder="1" applyAlignment="1">
      <alignment horizontal="center"/>
    </xf>
    <xf numFmtId="0" fontId="34" fillId="16" borderId="36" xfId="4" applyFont="1" applyFill="1" applyBorder="1" applyAlignment="1"/>
    <xf numFmtId="0" fontId="34" fillId="16" borderId="36" xfId="4" applyFont="1" applyFill="1" applyBorder="1" applyAlignment="1">
      <alignment horizontal="center"/>
    </xf>
    <xf numFmtId="0" fontId="33" fillId="16" borderId="36" xfId="4" applyFont="1" applyFill="1" applyBorder="1" applyAlignment="1">
      <alignment horizontal="center"/>
    </xf>
    <xf numFmtId="0" fontId="33" fillId="16" borderId="37" xfId="4" applyFont="1" applyFill="1" applyBorder="1" applyAlignment="1">
      <alignment horizontal="center"/>
    </xf>
    <xf numFmtId="0" fontId="34" fillId="16" borderId="36" xfId="4" applyFont="1" applyFill="1" applyBorder="1"/>
    <xf numFmtId="0" fontId="34" fillId="0" borderId="37" xfId="4" applyFont="1" applyBorder="1" applyAlignment="1">
      <alignment horizontal="center"/>
    </xf>
    <xf numFmtId="0" fontId="34" fillId="0" borderId="49" xfId="4" applyFont="1" applyBorder="1" applyAlignment="1">
      <alignment horizontal="center" vertical="center"/>
    </xf>
    <xf numFmtId="0" fontId="34" fillId="0" borderId="49" xfId="4" applyFont="1" applyBorder="1" applyAlignment="1">
      <alignment horizontal="center"/>
    </xf>
    <xf numFmtId="0" fontId="34" fillId="0" borderId="50" xfId="4" applyFont="1" applyBorder="1" applyAlignment="1">
      <alignment horizontal="center"/>
    </xf>
    <xf numFmtId="0" fontId="34" fillId="0" borderId="0" xfId="4" applyFont="1"/>
    <xf numFmtId="0" fontId="33" fillId="0" borderId="55" xfId="4" applyFont="1" applyBorder="1" applyAlignment="1">
      <alignment horizontal="center"/>
    </xf>
    <xf numFmtId="0" fontId="33" fillId="0" borderId="51" xfId="4" applyFont="1" applyBorder="1" applyAlignment="1">
      <alignment horizontal="center"/>
    </xf>
    <xf numFmtId="0" fontId="33" fillId="0" borderId="55" xfId="4" applyFont="1" applyBorder="1" applyAlignment="1">
      <alignment horizontal="center" vertical="center" wrapText="1"/>
    </xf>
    <xf numFmtId="0" fontId="34" fillId="15" borderId="60" xfId="4" applyFont="1" applyFill="1" applyBorder="1" applyAlignment="1">
      <alignment horizontal="center"/>
    </xf>
    <xf numFmtId="0" fontId="34" fillId="0" borderId="58" xfId="4" applyFont="1" applyBorder="1" applyAlignment="1">
      <alignment horizontal="center"/>
    </xf>
    <xf numFmtId="0" fontId="38" fillId="0" borderId="59" xfId="4" applyFont="1" applyBorder="1" applyAlignment="1">
      <alignment horizontal="center"/>
    </xf>
    <xf numFmtId="0" fontId="34" fillId="16" borderId="58" xfId="4" applyFont="1" applyFill="1" applyBorder="1" applyAlignment="1">
      <alignment horizontal="center"/>
    </xf>
    <xf numFmtId="0" fontId="34" fillId="16" borderId="61" xfId="4" applyFont="1" applyFill="1" applyBorder="1" applyAlignment="1">
      <alignment horizontal="center"/>
    </xf>
    <xf numFmtId="0" fontId="38" fillId="16" borderId="59" xfId="4" applyFont="1" applyFill="1" applyBorder="1" applyAlignment="1">
      <alignment horizontal="center"/>
    </xf>
    <xf numFmtId="0" fontId="34" fillId="0" borderId="40" xfId="4" applyFont="1" applyBorder="1" applyAlignment="1">
      <alignment horizontal="center"/>
    </xf>
    <xf numFmtId="0" fontId="33" fillId="15" borderId="33" xfId="4" applyFont="1" applyFill="1" applyBorder="1" applyAlignment="1">
      <alignment horizontal="center"/>
    </xf>
    <xf numFmtId="0" fontId="33" fillId="0" borderId="40" xfId="4" applyFont="1" applyBorder="1" applyAlignment="1">
      <alignment horizontal="center"/>
    </xf>
    <xf numFmtId="0" fontId="33" fillId="0" borderId="49" xfId="4" applyFont="1" applyBorder="1" applyAlignment="1">
      <alignment horizontal="center"/>
    </xf>
    <xf numFmtId="0" fontId="33" fillId="0" borderId="50" xfId="4" applyFont="1" applyBorder="1" applyAlignment="1">
      <alignment horizontal="center"/>
    </xf>
    <xf numFmtId="0" fontId="34" fillId="13" borderId="0" xfId="4" applyFont="1" applyFill="1" applyAlignment="1">
      <alignment horizontal="center"/>
    </xf>
    <xf numFmtId="167" fontId="34" fillId="13" borderId="0" xfId="4" applyNumberFormat="1" applyFont="1" applyFill="1" applyAlignment="1">
      <alignment horizontal="center" vertical="center"/>
    </xf>
    <xf numFmtId="0" fontId="33" fillId="13" borderId="0" xfId="4" applyFont="1" applyFill="1"/>
    <xf numFmtId="167" fontId="34" fillId="0" borderId="0" xfId="4" applyNumberFormat="1" applyFont="1" applyAlignment="1">
      <alignment horizontal="center" vertical="center"/>
    </xf>
    <xf numFmtId="0" fontId="39" fillId="14" borderId="32" xfId="4" applyFont="1" applyFill="1" applyBorder="1" applyAlignment="1">
      <alignment horizontal="center"/>
    </xf>
    <xf numFmtId="0" fontId="12" fillId="21" borderId="13" xfId="0" applyFont="1" applyFill="1" applyBorder="1" applyAlignment="1">
      <alignment horizontal="center" vertical="center"/>
    </xf>
    <xf numFmtId="0" fontId="12" fillId="21" borderId="13" xfId="0" applyFont="1" applyFill="1" applyBorder="1"/>
    <xf numFmtId="0" fontId="12" fillId="21" borderId="13" xfId="0" applyFont="1" applyFill="1" applyBorder="1" applyAlignment="1">
      <alignment horizontal="left"/>
    </xf>
    <xf numFmtId="0" fontId="12" fillId="21" borderId="28" xfId="0" applyFont="1" applyFill="1" applyBorder="1" applyAlignment="1">
      <alignment horizontal="center" vertical="center"/>
    </xf>
    <xf numFmtId="0" fontId="12" fillId="21" borderId="28" xfId="0" applyFont="1" applyFill="1" applyBorder="1"/>
    <xf numFmtId="0" fontId="12" fillId="21" borderId="28" xfId="0" applyFont="1" applyFill="1" applyBorder="1" applyAlignment="1">
      <alignment horizontal="left"/>
    </xf>
    <xf numFmtId="0" fontId="12" fillId="22" borderId="13" xfId="0" applyFont="1" applyFill="1" applyBorder="1" applyAlignment="1">
      <alignment horizontal="center" vertical="center"/>
    </xf>
    <xf numFmtId="0" fontId="12" fillId="22" borderId="13" xfId="0" applyFont="1" applyFill="1" applyBorder="1"/>
    <xf numFmtId="0" fontId="12" fillId="22" borderId="13" xfId="0" applyFont="1" applyFill="1" applyBorder="1" applyAlignment="1">
      <alignment horizontal="left"/>
    </xf>
    <xf numFmtId="0" fontId="12" fillId="22" borderId="14" xfId="0" applyFont="1" applyFill="1" applyBorder="1" applyAlignment="1">
      <alignment horizontal="center" vertical="center"/>
    </xf>
    <xf numFmtId="0" fontId="12" fillId="22" borderId="29" xfId="0" applyFont="1" applyFill="1" applyBorder="1" applyAlignment="1">
      <alignment horizontal="center" vertical="center"/>
    </xf>
    <xf numFmtId="0" fontId="12" fillId="22" borderId="29" xfId="0" applyFont="1" applyFill="1" applyBorder="1"/>
    <xf numFmtId="0" fontId="12" fillId="22" borderId="29" xfId="0" applyFont="1" applyFill="1" applyBorder="1" applyAlignment="1">
      <alignment horizontal="left"/>
    </xf>
    <xf numFmtId="0" fontId="7" fillId="0" borderId="13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horizontal="center" vertical="center"/>
    </xf>
    <xf numFmtId="0" fontId="17" fillId="4" borderId="20" xfId="0" applyFont="1" applyFill="1" applyBorder="1" applyAlignment="1">
      <alignment horizontal="center" vertical="center"/>
    </xf>
    <xf numFmtId="0" fontId="17" fillId="4" borderId="21" xfId="0" applyFont="1" applyFill="1" applyBorder="1" applyAlignment="1">
      <alignment horizontal="center" vertical="center"/>
    </xf>
    <xf numFmtId="0" fontId="17" fillId="4" borderId="22" xfId="0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/>
    </xf>
    <xf numFmtId="0" fontId="17" fillId="4" borderId="1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34" fillId="18" borderId="51" xfId="4" applyFont="1" applyFill="1" applyBorder="1" applyAlignment="1">
      <alignment horizontal="center"/>
    </xf>
    <xf numFmtId="0" fontId="35" fillId="0" borderId="52" xfId="4" applyFont="1" applyBorder="1"/>
    <xf numFmtId="0" fontId="35" fillId="0" borderId="53" xfId="4" applyFont="1" applyBorder="1"/>
    <xf numFmtId="0" fontId="36" fillId="0" borderId="51" xfId="4" applyFont="1" applyBorder="1" applyAlignment="1">
      <alignment horizontal="left"/>
    </xf>
    <xf numFmtId="0" fontId="33" fillId="0" borderId="51" xfId="4" applyFont="1" applyBorder="1" applyAlignment="1">
      <alignment horizontal="left"/>
    </xf>
    <xf numFmtId="0" fontId="33" fillId="0" borderId="54" xfId="4" applyFont="1" applyBorder="1" applyAlignment="1">
      <alignment horizontal="center" vertical="center" wrapText="1"/>
    </xf>
    <xf numFmtId="0" fontId="35" fillId="0" borderId="56" xfId="4" applyFont="1" applyBorder="1"/>
    <xf numFmtId="0" fontId="35" fillId="0" borderId="57" xfId="4" applyFont="1" applyBorder="1"/>
    <xf numFmtId="0" fontId="33" fillId="0" borderId="51" xfId="4" applyFont="1" applyBorder="1" applyAlignment="1"/>
    <xf numFmtId="167" fontId="34" fillId="0" borderId="34" xfId="4" applyNumberFormat="1" applyFont="1" applyBorder="1" applyAlignment="1">
      <alignment horizontal="center" vertical="center"/>
    </xf>
    <xf numFmtId="0" fontId="35" fillId="0" borderId="38" xfId="4" applyFont="1" applyBorder="1"/>
    <xf numFmtId="0" fontId="35" fillId="0" borderId="44" xfId="4" applyFont="1" applyBorder="1"/>
    <xf numFmtId="0" fontId="34" fillId="0" borderId="35" xfId="4" applyFont="1" applyBorder="1" applyAlignment="1">
      <alignment horizontal="center" vertical="center"/>
    </xf>
    <xf numFmtId="0" fontId="35" fillId="0" borderId="39" xfId="4" applyFont="1" applyBorder="1"/>
    <xf numFmtId="0" fontId="35" fillId="0" borderId="45" xfId="4" applyFont="1" applyBorder="1"/>
    <xf numFmtId="0" fontId="35" fillId="0" borderId="40" xfId="4" applyFont="1" applyBorder="1"/>
    <xf numFmtId="0" fontId="37" fillId="0" borderId="35" xfId="4" applyFont="1" applyBorder="1" applyAlignment="1">
      <alignment horizontal="center" vertical="center"/>
    </xf>
    <xf numFmtId="0" fontId="34" fillId="0" borderId="41" xfId="4" applyFont="1" applyBorder="1" applyAlignment="1">
      <alignment horizontal="center" vertical="center"/>
    </xf>
    <xf numFmtId="0" fontId="35" fillId="0" borderId="42" xfId="4" applyFont="1" applyBorder="1"/>
    <xf numFmtId="0" fontId="35" fillId="0" borderId="43" xfId="4" applyFont="1" applyBorder="1"/>
    <xf numFmtId="0" fontId="35" fillId="0" borderId="46" xfId="4" applyFont="1" applyBorder="1"/>
    <xf numFmtId="0" fontId="35" fillId="0" borderId="47" xfId="4" applyFont="1" applyBorder="1"/>
    <xf numFmtId="0" fontId="35" fillId="0" borderId="48" xfId="4" applyFont="1" applyBorder="1"/>
    <xf numFmtId="0" fontId="34" fillId="17" borderId="35" xfId="4" applyFont="1" applyFill="1" applyBorder="1" applyAlignment="1">
      <alignment horizontal="center" vertical="center"/>
    </xf>
    <xf numFmtId="0" fontId="33" fillId="18" borderId="51" xfId="4" applyFont="1" applyFill="1" applyBorder="1" applyAlignment="1">
      <alignment horizontal="center"/>
    </xf>
    <xf numFmtId="0" fontId="34" fillId="0" borderId="40" xfId="4" applyFont="1" applyBorder="1" applyAlignment="1">
      <alignment horizontal="center" vertical="center"/>
    </xf>
    <xf numFmtId="0" fontId="34" fillId="0" borderId="39" xfId="4" applyFont="1" applyBorder="1" applyAlignment="1">
      <alignment horizontal="center" vertical="center"/>
    </xf>
    <xf numFmtId="0" fontId="37" fillId="20" borderId="35" xfId="4" applyFont="1" applyFill="1" applyBorder="1" applyAlignment="1">
      <alignment horizontal="center" vertical="center"/>
    </xf>
    <xf numFmtId="0" fontId="35" fillId="20" borderId="39" xfId="4" applyFont="1" applyFill="1" applyBorder="1"/>
    <xf numFmtId="0" fontId="35" fillId="20" borderId="40" xfId="4" applyFont="1" applyFill="1" applyBorder="1"/>
    <xf numFmtId="0" fontId="33" fillId="0" borderId="51" xfId="4" applyFont="1" applyBorder="1" applyAlignment="1">
      <alignment horizontal="center"/>
    </xf>
    <xf numFmtId="0" fontId="33" fillId="0" borderId="52" xfId="4" applyFont="1" applyBorder="1" applyAlignment="1">
      <alignment horizontal="center"/>
    </xf>
    <xf numFmtId="0" fontId="33" fillId="0" borderId="53" xfId="4" applyFont="1" applyBorder="1" applyAlignment="1">
      <alignment horizontal="center"/>
    </xf>
    <xf numFmtId="0" fontId="34" fillId="20" borderId="35" xfId="4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0" fillId="3" borderId="13" xfId="0" applyFont="1" applyFill="1" applyBorder="1" applyAlignment="1">
      <alignment horizontal="center" vertical="center"/>
    </xf>
    <xf numFmtId="14" fontId="12" fillId="21" borderId="28" xfId="0" applyNumberFormat="1" applyFont="1" applyFill="1" applyBorder="1" applyAlignment="1">
      <alignment horizontal="center" vertical="center"/>
    </xf>
    <xf numFmtId="14" fontId="12" fillId="21" borderId="30" xfId="0" applyNumberFormat="1" applyFont="1" applyFill="1" applyBorder="1" applyAlignment="1">
      <alignment horizontal="center" vertical="center"/>
    </xf>
    <xf numFmtId="14" fontId="12" fillId="21" borderId="29" xfId="0" applyNumberFormat="1" applyFont="1" applyFill="1" applyBorder="1" applyAlignment="1">
      <alignment horizontal="center" vertical="center"/>
    </xf>
    <xf numFmtId="14" fontId="12" fillId="22" borderId="28" xfId="0" applyNumberFormat="1" applyFont="1" applyFill="1" applyBorder="1" applyAlignment="1">
      <alignment horizontal="center" vertical="center"/>
    </xf>
    <xf numFmtId="14" fontId="12" fillId="22" borderId="30" xfId="0" applyNumberFormat="1" applyFont="1" applyFill="1" applyBorder="1" applyAlignment="1">
      <alignment horizontal="center" vertical="center"/>
    </xf>
    <xf numFmtId="14" fontId="12" fillId="22" borderId="29" xfId="0" applyNumberFormat="1" applyFont="1" applyFill="1" applyBorder="1" applyAlignment="1">
      <alignment horizontal="center" vertical="center"/>
    </xf>
    <xf numFmtId="14" fontId="12" fillId="10" borderId="28" xfId="0" applyNumberFormat="1" applyFont="1" applyFill="1" applyBorder="1" applyAlignment="1">
      <alignment horizontal="center" vertical="center"/>
    </xf>
    <xf numFmtId="14" fontId="12" fillId="10" borderId="30" xfId="0" applyNumberFormat="1" applyFont="1" applyFill="1" applyBorder="1" applyAlignment="1">
      <alignment horizontal="center" vertical="center"/>
    </xf>
    <xf numFmtId="14" fontId="12" fillId="10" borderId="29" xfId="0" applyNumberFormat="1" applyFont="1" applyFill="1" applyBorder="1" applyAlignment="1">
      <alignment horizontal="center" vertical="center"/>
    </xf>
    <xf numFmtId="14" fontId="12" fillId="11" borderId="28" xfId="0" applyNumberFormat="1" applyFont="1" applyFill="1" applyBorder="1" applyAlignment="1">
      <alignment horizontal="center" vertical="center"/>
    </xf>
    <xf numFmtId="14" fontId="12" fillId="11" borderId="30" xfId="0" applyNumberFormat="1" applyFont="1" applyFill="1" applyBorder="1" applyAlignment="1">
      <alignment horizontal="center" vertical="center"/>
    </xf>
    <xf numFmtId="14" fontId="12" fillId="11" borderId="29" xfId="0" applyNumberFormat="1" applyFont="1" applyFill="1" applyBorder="1" applyAlignment="1">
      <alignment horizontal="center" vertical="center"/>
    </xf>
    <xf numFmtId="14" fontId="12" fillId="6" borderId="28" xfId="0" applyNumberFormat="1" applyFont="1" applyFill="1" applyBorder="1" applyAlignment="1">
      <alignment horizontal="center" vertical="center"/>
    </xf>
    <xf numFmtId="14" fontId="12" fillId="6" borderId="30" xfId="0" applyNumberFormat="1" applyFont="1" applyFill="1" applyBorder="1" applyAlignment="1">
      <alignment horizontal="center" vertical="center"/>
    </xf>
    <xf numFmtId="14" fontId="12" fillId="6" borderId="29" xfId="0" applyNumberFormat="1" applyFont="1" applyFill="1" applyBorder="1" applyAlignment="1">
      <alignment horizontal="center" vertical="center"/>
    </xf>
    <xf numFmtId="14" fontId="12" fillId="7" borderId="28" xfId="0" applyNumberFormat="1" applyFont="1" applyFill="1" applyBorder="1" applyAlignment="1">
      <alignment horizontal="center" vertical="center"/>
    </xf>
    <xf numFmtId="14" fontId="12" fillId="7" borderId="30" xfId="0" applyNumberFormat="1" applyFont="1" applyFill="1" applyBorder="1" applyAlignment="1">
      <alignment horizontal="center" vertical="center"/>
    </xf>
    <xf numFmtId="14" fontId="12" fillId="7" borderId="29" xfId="0" applyNumberFormat="1" applyFont="1" applyFill="1" applyBorder="1" applyAlignment="1">
      <alignment horizontal="center" vertical="center"/>
    </xf>
    <xf numFmtId="14" fontId="12" fillId="9" borderId="28" xfId="0" applyNumberFormat="1" applyFont="1" applyFill="1" applyBorder="1" applyAlignment="1">
      <alignment horizontal="center" vertical="center"/>
    </xf>
    <xf numFmtId="14" fontId="12" fillId="9" borderId="30" xfId="0" applyNumberFormat="1" applyFont="1" applyFill="1" applyBorder="1" applyAlignment="1">
      <alignment horizontal="center" vertical="center"/>
    </xf>
    <xf numFmtId="14" fontId="12" fillId="8" borderId="28" xfId="0" applyNumberFormat="1" applyFont="1" applyFill="1" applyBorder="1" applyAlignment="1">
      <alignment horizontal="center" vertical="center"/>
    </xf>
    <xf numFmtId="14" fontId="12" fillId="8" borderId="30" xfId="0" applyNumberFormat="1" applyFont="1" applyFill="1" applyBorder="1" applyAlignment="1">
      <alignment horizontal="center" vertical="center"/>
    </xf>
    <xf numFmtId="14" fontId="12" fillId="8" borderId="29" xfId="0" applyNumberFormat="1" applyFont="1" applyFill="1" applyBorder="1" applyAlignment="1">
      <alignment horizontal="center" vertical="center"/>
    </xf>
  </cellXfs>
  <cellStyles count="5">
    <cellStyle name="Calculation" xfId="2" builtinId="22"/>
    <cellStyle name="Comma" xfId="1" builtinId="3"/>
    <cellStyle name="Normal" xfId="0" builtinId="0"/>
    <cellStyle name="Normal 2" xfId="4"/>
    <cellStyle name="Percent" xfId="3" builtinId="5"/>
  </cellStyles>
  <dxfs count="104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ont>
        <color rgb="FFFF000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CCCC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TRACKING</a:t>
            </a:r>
            <a:r>
              <a:rPr lang="en-US" sz="1800" b="1" baseline="0"/>
              <a:t> RAMP UP OUTPUT CUTTING+PREP</a:t>
            </a:r>
            <a:endParaRPr lang="en-US" sz="18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716173779379162E-2"/>
          <c:y val="0.14984951208049982"/>
          <c:w val="0.91592951324871985"/>
          <c:h val="0.67799875831628609"/>
        </c:manualLayout>
      </c:layout>
      <c:lineChart>
        <c:grouping val="standard"/>
        <c:varyColors val="0"/>
        <c:ser>
          <c:idx val="0"/>
          <c:order val="0"/>
          <c:tx>
            <c:strRef>
              <c:f>Summary!$B$9</c:f>
              <c:strCache>
                <c:ptCount val="1"/>
                <c:pt idx="0">
                  <c:v>Cell 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Summary!$BV$8:$BY$8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Summary!$BV$10:$BY$10</c:f>
              <c:numCache>
                <c:formatCode>_(* #,##0_);_(* \(#,##0\);_(* "-"??_);_(@_)</c:formatCode>
                <c:ptCount val="4"/>
                <c:pt idx="0">
                  <c:v>56.25</c:v>
                </c:pt>
                <c:pt idx="1">
                  <c:v>22.5</c:v>
                </c:pt>
                <c:pt idx="2">
                  <c:v>37.5</c:v>
                </c:pt>
                <c:pt idx="3">
                  <c:v>62.5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Summary!$B$11</c:f>
              <c:strCache>
                <c:ptCount val="1"/>
                <c:pt idx="0">
                  <c:v>Cell 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Summary!$BV$8:$BY$8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Summary!$BV$12:$BY$12</c:f>
              <c:numCache>
                <c:formatCode>_(* #,##0_);_(* \(#,##0\);_(* "-"??_);_(@_)</c:formatCode>
                <c:ptCount val="4"/>
                <c:pt idx="0">
                  <c:v>46.363636363636367</c:v>
                </c:pt>
                <c:pt idx="1">
                  <c:v>175.09090909090909</c:v>
                </c:pt>
                <c:pt idx="2">
                  <c:v>162</c:v>
                </c:pt>
                <c:pt idx="3">
                  <c:v>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Summary!$B$13</c:f>
              <c:strCache>
                <c:ptCount val="1"/>
                <c:pt idx="0">
                  <c:v>Cell 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Summary!$BV$8:$BY$8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Summary!$BV$14:$BY$14</c:f>
              <c:numCache>
                <c:formatCode>_(* #,##0_);_(* \(#,##0\);_(* "-"??_);_(@_)</c:formatCode>
                <c:ptCount val="4"/>
                <c:pt idx="0">
                  <c:v>89</c:v>
                </c:pt>
                <c:pt idx="1">
                  <c:v>134.33333333333334</c:v>
                </c:pt>
                <c:pt idx="2">
                  <c:v>171.5</c:v>
                </c:pt>
                <c:pt idx="3">
                  <c:v>191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Summary!$B$15</c:f>
              <c:strCache>
                <c:ptCount val="1"/>
                <c:pt idx="0">
                  <c:v>Cell 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Summary!$BV$8:$BY$8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Summary!$BV$16:$BY$16</c:f>
              <c:numCache>
                <c:formatCode>_(* #,##0_);_(* \(#,##0\);_(* "-"??_);_(@_)</c:formatCode>
                <c:ptCount val="4"/>
                <c:pt idx="0">
                  <c:v>16.5</c:v>
                </c:pt>
                <c:pt idx="1">
                  <c:v>46.5</c:v>
                </c:pt>
                <c:pt idx="2">
                  <c:v>0</c:v>
                </c:pt>
                <c:pt idx="3">
                  <c:v>95.25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Summary!$B$17</c:f>
              <c:strCache>
                <c:ptCount val="1"/>
                <c:pt idx="0">
                  <c:v>Cell 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Summary!$BV$8:$BY$8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Summary!$BV$18:$BY$18</c:f>
              <c:numCache>
                <c:formatCode>_(* #,##0_);_(* \(#,##0\);_(* "-"??_);_(@_)</c:formatCode>
                <c:ptCount val="4"/>
                <c:pt idx="0">
                  <c:v>51</c:v>
                </c:pt>
                <c:pt idx="1">
                  <c:v>86.333333333333329</c:v>
                </c:pt>
                <c:pt idx="2">
                  <c:v>109</c:v>
                </c:pt>
                <c:pt idx="3">
                  <c:v>72.5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Summary!$B$19</c:f>
              <c:strCache>
                <c:ptCount val="1"/>
                <c:pt idx="0">
                  <c:v>Cell 11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Summary!$BV$8:$BY$8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Summary!$BV$20:$BY$20</c:f>
              <c:numCache>
                <c:formatCode>_(* #,##0_);_(* \(#,##0\);_(* "-"??_);_(@_)</c:formatCode>
                <c:ptCount val="4"/>
                <c:pt idx="0">
                  <c:v>120.6</c:v>
                </c:pt>
                <c:pt idx="1">
                  <c:v>72</c:v>
                </c:pt>
                <c:pt idx="2">
                  <c:v>126.6</c:v>
                </c:pt>
                <c:pt idx="3">
                  <c:v>168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Summary!$B$21</c:f>
              <c:strCache>
                <c:ptCount val="1"/>
                <c:pt idx="0">
                  <c:v>TARGET RUMP UP LEAN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Summary!$BV$8:$BY$8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Summary!$BV$21:$BY$21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07715472"/>
        <c:axId val="507716016"/>
      </c:lineChart>
      <c:dateAx>
        <c:axId val="507715472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716016"/>
        <c:crosses val="autoZero"/>
        <c:auto val="1"/>
        <c:lblOffset val="100"/>
        <c:baseTimeUnit val="days"/>
      </c:dateAx>
      <c:valAx>
        <c:axId val="507716016"/>
        <c:scaling>
          <c:orientation val="minMax"/>
          <c:max val="1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71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TRACKING</a:t>
            </a:r>
            <a:r>
              <a:rPr lang="en-US" sz="1800" b="1" baseline="0"/>
              <a:t> RAMP UP OUTPUT COMPUTER STITCHING</a:t>
            </a:r>
            <a:endParaRPr lang="en-US" sz="18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908409340533103E-2"/>
          <c:y val="0.14707558443424981"/>
          <c:w val="0.91592951324871985"/>
          <c:h val="0.67799875831628609"/>
        </c:manualLayout>
      </c:layout>
      <c:lineChart>
        <c:grouping val="standard"/>
        <c:varyColors val="0"/>
        <c:ser>
          <c:idx val="0"/>
          <c:order val="0"/>
          <c:tx>
            <c:strRef>
              <c:f>Summary!$B$30</c:f>
              <c:strCache>
                <c:ptCount val="1"/>
                <c:pt idx="0">
                  <c:v>Cell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Summary!$BV$29:$BY$29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Summary!$BV$31:$BY$31</c:f>
              <c:numCache>
                <c:formatCode>_(* #,##0_);_(* \(#,##0\);_(* "-"??_);_(@_)</c:formatCode>
                <c:ptCount val="4"/>
                <c:pt idx="0">
                  <c:v>64.5</c:v>
                </c:pt>
                <c:pt idx="1">
                  <c:v>58</c:v>
                </c:pt>
                <c:pt idx="2">
                  <c:v>74.333333333333329</c:v>
                </c:pt>
                <c:pt idx="3">
                  <c:v>76.333333333333329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Summary!$B$32</c:f>
              <c:strCache>
                <c:ptCount val="1"/>
                <c:pt idx="0">
                  <c:v>Cell 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Summary!$BV$29:$BY$29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Summary!$BV$33:$BY$33</c:f>
              <c:numCache>
                <c:formatCode>_(* #,##0_);_(* \(#,##0\);_(* "-"??_);_(@_)</c:formatCode>
                <c:ptCount val="4"/>
                <c:pt idx="0">
                  <c:v>64</c:v>
                </c:pt>
                <c:pt idx="1">
                  <c:v>64.5</c:v>
                </c:pt>
                <c:pt idx="2">
                  <c:v>92.333333333333329</c:v>
                </c:pt>
                <c:pt idx="3">
                  <c:v>83.333333333333329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Summary!$B$36</c:f>
              <c:strCache>
                <c:ptCount val="1"/>
                <c:pt idx="0">
                  <c:v>Cell 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Summary!$BV$29:$BY$29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Summary!$BV$35:$BY$35</c:f>
              <c:numCache>
                <c:formatCode>_(* #,##0_);_(* \(#,##0\);_(* "-"??_);_(@_)</c:formatCode>
                <c:ptCount val="4"/>
                <c:pt idx="0">
                  <c:v>54</c:v>
                </c:pt>
                <c:pt idx="1">
                  <c:v>52.916666666666664</c:v>
                </c:pt>
                <c:pt idx="2">
                  <c:v>63.666666666666664</c:v>
                </c:pt>
                <c:pt idx="3">
                  <c:v>140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Summary!$B$34</c:f>
              <c:strCache>
                <c:ptCount val="1"/>
                <c:pt idx="0">
                  <c:v>Cell 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Summary!$BV$29:$BY$29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Summary!$BV$37:$BY$37</c:f>
              <c:numCache>
                <c:formatCode>_(* #,##0_);_(* \(#,##0\);_(* "-"??_);_(@_)</c:formatCode>
                <c:ptCount val="4"/>
                <c:pt idx="0">
                  <c:v>36</c:v>
                </c:pt>
                <c:pt idx="1">
                  <c:v>44.25</c:v>
                </c:pt>
                <c:pt idx="2">
                  <c:v>37.799999999999997</c:v>
                </c:pt>
                <c:pt idx="3">
                  <c:v>25.333333333333332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Summary!$B$38</c:f>
              <c:strCache>
                <c:ptCount val="1"/>
                <c:pt idx="0">
                  <c:v>Cell 11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Summary!$BV$29:$BY$29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Summary!$BV$39:$BY$39</c:f>
              <c:numCache>
                <c:formatCode>_(* #,##0_);_(* \(#,##0\);_(* "-"??_);_(@_)</c:formatCode>
                <c:ptCount val="4"/>
                <c:pt idx="0">
                  <c:v>62.5</c:v>
                </c:pt>
                <c:pt idx="1">
                  <c:v>58.5</c:v>
                </c:pt>
                <c:pt idx="2">
                  <c:v>102.25</c:v>
                </c:pt>
                <c:pt idx="3">
                  <c:v>101.5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Summary!$B$40</c:f>
              <c:strCache>
                <c:ptCount val="1"/>
                <c:pt idx="0">
                  <c:v>Cell D6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Summary!$BV$29:$BY$29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Summary!$BV$41:$BY$41</c:f>
              <c:numCache>
                <c:formatCode>_(* #,##0_);_(* \(#,##0\);_(* "-"??_);_(@_)</c:formatCode>
                <c:ptCount val="4"/>
                <c:pt idx="0">
                  <c:v>30.5</c:v>
                </c:pt>
                <c:pt idx="1">
                  <c:v>18.5</c:v>
                </c:pt>
                <c:pt idx="2">
                  <c:v>13.833333333333334</c:v>
                </c:pt>
                <c:pt idx="3">
                  <c:v>18.083333333333332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Summary!$B$42</c:f>
              <c:strCache>
                <c:ptCount val="1"/>
                <c:pt idx="0">
                  <c:v>TARGET RUMP UP LEAN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Summary!$BV$29:$BY$29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Summary!$BV$42:$BY$42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0946672"/>
        <c:axId val="687142656"/>
      </c:lineChart>
      <c:dateAx>
        <c:axId val="610946672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42656"/>
        <c:crosses val="autoZero"/>
        <c:auto val="1"/>
        <c:lblOffset val="100"/>
        <c:baseTimeUnit val="days"/>
      </c:dateAx>
      <c:valAx>
        <c:axId val="687142656"/>
        <c:scaling>
          <c:orientation val="minMax"/>
          <c:max val="1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94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TRACKING</a:t>
            </a:r>
            <a:r>
              <a:rPr lang="en-US" sz="1800" b="1" baseline="0"/>
              <a:t> RAMP UP OUTPUT SEWING</a:t>
            </a:r>
            <a:endParaRPr lang="en-US" sz="18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716173779379162E-2"/>
          <c:y val="0.14984951208049982"/>
          <c:w val="0.91592951324871985"/>
          <c:h val="0.67799875831628609"/>
        </c:manualLayout>
      </c:layout>
      <c:lineChart>
        <c:grouping val="standard"/>
        <c:varyColors val="0"/>
        <c:ser>
          <c:idx val="0"/>
          <c:order val="0"/>
          <c:tx>
            <c:strRef>
              <c:f>Summary!$B$51</c:f>
              <c:strCache>
                <c:ptCount val="1"/>
                <c:pt idx="0">
                  <c:v>Cell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Summary!$BV$50:$BY$50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Summary!$BV$52:$BY$52</c:f>
              <c:numCache>
                <c:formatCode>_(* #,##0_);_(* \(#,##0\);_(* "-"??_);_(@_)</c:formatCode>
                <c:ptCount val="4"/>
                <c:pt idx="0">
                  <c:v>72</c:v>
                </c:pt>
                <c:pt idx="1">
                  <c:v>70</c:v>
                </c:pt>
                <c:pt idx="2">
                  <c:v>75</c:v>
                </c:pt>
                <c:pt idx="3">
                  <c:v>81.666666666666671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Summary!$B$53</c:f>
              <c:strCache>
                <c:ptCount val="1"/>
                <c:pt idx="0">
                  <c:v>Cell 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Summary!$BV$50:$BY$50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Summary!$BV$54:$BY$54</c:f>
              <c:numCache>
                <c:formatCode>_(* #,##0_);_(* \(#,##0\);_(* "-"??_);_(@_)</c:formatCode>
                <c:ptCount val="4"/>
                <c:pt idx="0">
                  <c:v>70</c:v>
                </c:pt>
                <c:pt idx="1">
                  <c:v>67</c:v>
                </c:pt>
                <c:pt idx="2">
                  <c:v>75</c:v>
                </c:pt>
                <c:pt idx="3">
                  <c:v>81.666666666666671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Summary!$B$55</c:f>
              <c:strCache>
                <c:ptCount val="1"/>
                <c:pt idx="0">
                  <c:v>Cell 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Summary!$BV$50:$BY$50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Summary!$BV$56:$BY$56</c:f>
              <c:numCache>
                <c:formatCode>_(* #,##0_);_(* \(#,##0\);_(* "-"??_);_(@_)</c:formatCode>
                <c:ptCount val="4"/>
                <c:pt idx="0">
                  <c:v>40.5</c:v>
                </c:pt>
                <c:pt idx="1">
                  <c:v>45</c:v>
                </c:pt>
                <c:pt idx="2">
                  <c:v>41.333333333333336</c:v>
                </c:pt>
                <c:pt idx="3">
                  <c:v>37.333333333333336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Summary!$B$57</c:f>
              <c:strCache>
                <c:ptCount val="1"/>
                <c:pt idx="0">
                  <c:v>Cell 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Summary!$BV$50:$BY$50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Summary!$BV$58:$BY$58</c:f>
              <c:numCache>
                <c:formatCode>_(* #,##0_);_(* \(#,##0\);_(* "-"??_);_(@_)</c:formatCode>
                <c:ptCount val="4"/>
                <c:pt idx="0">
                  <c:v>70</c:v>
                </c:pt>
                <c:pt idx="1">
                  <c:v>72</c:v>
                </c:pt>
                <c:pt idx="2">
                  <c:v>75</c:v>
                </c:pt>
                <c:pt idx="3">
                  <c:v>80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Summary!$B$59</c:f>
              <c:strCache>
                <c:ptCount val="1"/>
                <c:pt idx="0">
                  <c:v>Cell 11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Summary!$BV$50:$BY$50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Summary!$BV$60:$BY$60</c:f>
              <c:numCache>
                <c:formatCode>_(* #,##0_);_(* \(#,##0\);_(* "-"??_);_(@_)</c:formatCode>
                <c:ptCount val="4"/>
                <c:pt idx="0">
                  <c:v>58.5</c:v>
                </c:pt>
                <c:pt idx="1">
                  <c:v>61.5</c:v>
                </c:pt>
                <c:pt idx="2">
                  <c:v>79.166666666666671</c:v>
                </c:pt>
                <c:pt idx="3">
                  <c:v>91.666666666666671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Summary!$B$63</c:f>
              <c:strCache>
                <c:ptCount val="1"/>
                <c:pt idx="0">
                  <c:v>Buffer Zone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Summary!$BV$50:$BY$50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Summary!$BV$64:$BY$64</c:f>
              <c:numCache>
                <c:formatCode>_(* #,##0_);_(* \(#,##0\);_(* "-"??_);_(@_)</c:formatCode>
                <c:ptCount val="4"/>
                <c:pt idx="0">
                  <c:v>38.25</c:v>
                </c:pt>
                <c:pt idx="1">
                  <c:v>0</c:v>
                </c:pt>
                <c:pt idx="2">
                  <c:v>36</c:v>
                </c:pt>
                <c:pt idx="3">
                  <c:v>56.25</c:v>
                </c:pt>
              </c:numCache>
            </c:numRef>
          </c:val>
          <c:smooth val="0"/>
        </c:ser>
        <c:ser>
          <c:idx val="8"/>
          <c:order val="6"/>
          <c:tx>
            <c:strRef>
              <c:f>Summary!$B$61</c:f>
              <c:strCache>
                <c:ptCount val="1"/>
                <c:pt idx="0">
                  <c:v>Cell D6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Summary!$BV$50:$BY$50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Summary!$BV$62:$BY$62</c:f>
              <c:numCache>
                <c:formatCode>_(* #,##0_);_(* \(#,##0\);_(* "-"??_);_(@_)</c:formatCode>
                <c:ptCount val="4"/>
                <c:pt idx="0">
                  <c:v>25</c:v>
                </c:pt>
                <c:pt idx="1">
                  <c:v>18</c:v>
                </c:pt>
                <c:pt idx="2">
                  <c:v>29</c:v>
                </c:pt>
                <c:pt idx="3">
                  <c:v>27</c:v>
                </c:pt>
              </c:numCache>
            </c:numRef>
          </c:val>
          <c:smooth val="0"/>
        </c:ser>
        <c:ser>
          <c:idx val="6"/>
          <c:order val="7"/>
          <c:tx>
            <c:strRef>
              <c:f>Summary!$B$65</c:f>
              <c:strCache>
                <c:ptCount val="1"/>
                <c:pt idx="0">
                  <c:v>TARGET RAMP UP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Summary!$BV$50:$BY$50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Summary!$BV$65:$BY$65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7144288"/>
        <c:axId val="687139392"/>
      </c:lineChart>
      <c:dateAx>
        <c:axId val="687144288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39392"/>
        <c:crosses val="autoZero"/>
        <c:auto val="1"/>
        <c:lblOffset val="100"/>
        <c:baseTimeUnit val="days"/>
      </c:dateAx>
      <c:valAx>
        <c:axId val="687139392"/>
        <c:scaling>
          <c:orientation val="minMax"/>
          <c:max val="1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4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TRACKING</a:t>
            </a:r>
            <a:r>
              <a:rPr lang="en-US" sz="1800" b="1" baseline="0"/>
              <a:t> RAMP UP OUTPUT ASSEMBLY</a:t>
            </a:r>
            <a:endParaRPr lang="en-US" sz="18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350839185109897E-2"/>
          <c:y val="0.14984943186582306"/>
          <c:w val="0.91592951324871985"/>
          <c:h val="0.67799875831628609"/>
        </c:manualLayout>
      </c:layout>
      <c:lineChart>
        <c:grouping val="standard"/>
        <c:varyColors val="0"/>
        <c:ser>
          <c:idx val="0"/>
          <c:order val="0"/>
          <c:tx>
            <c:strRef>
              <c:f>Summary!$B$74</c:f>
              <c:strCache>
                <c:ptCount val="1"/>
                <c:pt idx="0">
                  <c:v>Cell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Summary!$BV$73:$BY$73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Summary!$BV$75:$BY$75</c:f>
              <c:numCache>
                <c:formatCode>_(* #,##0_);_(* \(#,##0\);_(* "-"??_);_(@_)</c:formatCode>
                <c:ptCount val="4"/>
                <c:pt idx="0">
                  <c:v>77.5</c:v>
                </c:pt>
                <c:pt idx="1">
                  <c:v>61</c:v>
                </c:pt>
                <c:pt idx="2">
                  <c:v>91.9</c:v>
                </c:pt>
                <c:pt idx="3">
                  <c:v>77.916666666666671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Summary!$B$76</c:f>
              <c:strCache>
                <c:ptCount val="1"/>
                <c:pt idx="0">
                  <c:v>Cell 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Summary!$BV$73:$BY$73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Summary!$BV$77:$BY$77</c:f>
              <c:numCache>
                <c:formatCode>_(* #,##0_);_(* \(#,##0\);_(* "-"??_);_(@_)</c:formatCode>
                <c:ptCount val="4"/>
                <c:pt idx="0">
                  <c:v>82.545454545454547</c:v>
                </c:pt>
                <c:pt idx="1">
                  <c:v>56</c:v>
                </c:pt>
                <c:pt idx="2">
                  <c:v>91.090909090909093</c:v>
                </c:pt>
                <c:pt idx="3">
                  <c:v>88.727272727272734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Summary!$B$80</c:f>
              <c:strCache>
                <c:ptCount val="1"/>
                <c:pt idx="0">
                  <c:v>Cell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Summary!$BV$73:$BY$73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Summary!$BV$81:$BY$81</c:f>
              <c:numCache>
                <c:formatCode>_(* #,##0_);_(* \(#,##0\);_(* "-"??_);_(@_)</c:formatCode>
                <c:ptCount val="4"/>
                <c:pt idx="0">
                  <c:v>43.636363636363633</c:v>
                </c:pt>
                <c:pt idx="1">
                  <c:v>57.363636363636367</c:v>
                </c:pt>
                <c:pt idx="2">
                  <c:v>86.36363636363636</c:v>
                </c:pt>
                <c:pt idx="3">
                  <c:v>105.45454545454545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Summary!$B$82</c:f>
              <c:strCache>
                <c:ptCount val="1"/>
                <c:pt idx="0">
                  <c:v>Cell 11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Summary!$BV$73:$BY$73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Summary!$BV$83:$BY$83</c:f>
              <c:numCache>
                <c:formatCode>_(* #,##0_);_(* \(#,##0\);_(* "-"??_);_(@_)</c:formatCode>
                <c:ptCount val="4"/>
                <c:pt idx="0">
                  <c:v>49.7</c:v>
                </c:pt>
                <c:pt idx="1">
                  <c:v>61</c:v>
                </c:pt>
                <c:pt idx="2">
                  <c:v>80</c:v>
                </c:pt>
                <c:pt idx="3">
                  <c:v>111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Summary!$B$84</c:f>
              <c:strCache>
                <c:ptCount val="1"/>
                <c:pt idx="0">
                  <c:v>TARGET RAMP UP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Summary!$BV$73:$BY$73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Summary!$BV$84:$BY$84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Summary!$B$78</c:f>
              <c:strCache>
                <c:ptCount val="1"/>
                <c:pt idx="0">
                  <c:v>Cell 9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Summary!$BV$73:$BY$73</c:f>
              <c:numCache>
                <c:formatCode>m/d;@</c:formatCode>
                <c:ptCount val="4"/>
                <c:pt idx="0">
                  <c:v>46129</c:v>
                </c:pt>
                <c:pt idx="1">
                  <c:v>46130</c:v>
                </c:pt>
                <c:pt idx="2">
                  <c:v>46132</c:v>
                </c:pt>
                <c:pt idx="3">
                  <c:v>46133</c:v>
                </c:pt>
              </c:numCache>
            </c:numRef>
          </c:cat>
          <c:val>
            <c:numRef>
              <c:f>Summary!$BX$79:$BY$79</c:f>
              <c:numCache>
                <c:formatCode>_(* #,##0_);_(* \(#,##0\);_(* "-"??_);_(@_)</c:formatCode>
                <c:ptCount val="2"/>
                <c:pt idx="0">
                  <c:v>14.875</c:v>
                </c:pt>
                <c:pt idx="1">
                  <c:v>66.75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7138304"/>
        <c:axId val="687138848"/>
      </c:lineChart>
      <c:dateAx>
        <c:axId val="687138304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38848"/>
        <c:crosses val="autoZero"/>
        <c:auto val="1"/>
        <c:lblOffset val="100"/>
        <c:baseTimeUnit val="days"/>
      </c:dateAx>
      <c:valAx>
        <c:axId val="687138848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3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TRACKING RAMP UP OUTPUT MODEL 603 CELL 3</a:t>
            </a:r>
          </a:p>
        </c:rich>
      </c:tx>
      <c:layout>
        <c:manualLayout>
          <c:xMode val="edge"/>
          <c:yMode val="edge"/>
          <c:x val="0.36359666031492593"/>
          <c:y val="2.83645696167572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217444308717352E-2"/>
          <c:y val="0.16894170188891527"/>
          <c:w val="0.93904306496106293"/>
          <c:h val="0.61093167161885287"/>
        </c:manualLayout>
      </c:layout>
      <c:lineChart>
        <c:grouping val="standard"/>
        <c:varyColors val="0"/>
        <c:ser>
          <c:idx val="0"/>
          <c:order val="0"/>
          <c:tx>
            <c:strRef>
              <c:f>'Cell 3 603'!$B$9:$B$10</c:f>
              <c:strCache>
                <c:ptCount val="1"/>
                <c:pt idx="0">
                  <c:v>Cutting+Prep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3 603'!$D$8:$N$8</c:f>
              <c:numCache>
                <c:formatCode>m/d;@</c:formatCode>
                <c:ptCount val="11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  <c:pt idx="5">
                  <c:v>46121</c:v>
                </c:pt>
                <c:pt idx="6">
                  <c:v>46122</c:v>
                </c:pt>
                <c:pt idx="7">
                  <c:v>46123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</c:numCache>
            </c:numRef>
          </c:cat>
          <c:val>
            <c:numRef>
              <c:f>'Cell 3 603'!$D$10:$N$10</c:f>
              <c:numCache>
                <c:formatCode>_(* #,##0_);_(* \(#,##0\);_(* "-"??_);_(@_)</c:formatCode>
                <c:ptCount val="11"/>
                <c:pt idx="0">
                  <c:v>80.25</c:v>
                </c:pt>
                <c:pt idx="1">
                  <c:v>0</c:v>
                </c:pt>
                <c:pt idx="2">
                  <c:v>28.2</c:v>
                </c:pt>
                <c:pt idx="3">
                  <c:v>0</c:v>
                </c:pt>
                <c:pt idx="4">
                  <c:v>68.25</c:v>
                </c:pt>
                <c:pt idx="5">
                  <c:v>0</c:v>
                </c:pt>
                <c:pt idx="6">
                  <c:v>12</c:v>
                </c:pt>
                <c:pt idx="7" formatCode="_(* #,##0.00_);_(* \(#,##0.00\);_(* &quot;-&quot;??_);_(@_)">
                  <c:v>0</c:v>
                </c:pt>
                <c:pt idx="8">
                  <c:v>176.25</c:v>
                </c:pt>
                <c:pt idx="9">
                  <c:v>101.25</c:v>
                </c:pt>
                <c:pt idx="10">
                  <c:v>107.25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'Cell 3 603'!$B$11:$B$12</c:f>
              <c:strCache>
                <c:ptCount val="1"/>
                <c:pt idx="0">
                  <c:v>Comshare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3 603'!$D$8:$N$8</c:f>
              <c:numCache>
                <c:formatCode>m/d;@</c:formatCode>
                <c:ptCount val="11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  <c:pt idx="5">
                  <c:v>46121</c:v>
                </c:pt>
                <c:pt idx="6">
                  <c:v>46122</c:v>
                </c:pt>
                <c:pt idx="7">
                  <c:v>46123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</c:numCache>
            </c:numRef>
          </c:cat>
          <c:val>
            <c:numRef>
              <c:f>'Cell 3 603'!$D$12:$N$12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10.5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'Cell 3 603'!$B$13:$B$14</c:f>
              <c:strCache>
                <c:ptCount val="1"/>
                <c:pt idx="0">
                  <c:v>Sewing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3 603'!$D$8:$N$8</c:f>
              <c:numCache>
                <c:formatCode>m/d;@</c:formatCode>
                <c:ptCount val="11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  <c:pt idx="5">
                  <c:v>46121</c:v>
                </c:pt>
                <c:pt idx="6">
                  <c:v>46122</c:v>
                </c:pt>
                <c:pt idx="7">
                  <c:v>46123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</c:numCache>
            </c:numRef>
          </c:cat>
          <c:val>
            <c:numRef>
              <c:f>'Cell 3 603'!$D$14:$N$14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'Cell 3 603'!$B$15:$B$16</c:f>
              <c:strCache>
                <c:ptCount val="1"/>
                <c:pt idx="0">
                  <c:v>Assembly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3 603'!$D$8:$N$8</c:f>
              <c:numCache>
                <c:formatCode>m/d;@</c:formatCode>
                <c:ptCount val="11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  <c:pt idx="5">
                  <c:v>46121</c:v>
                </c:pt>
                <c:pt idx="6">
                  <c:v>46122</c:v>
                </c:pt>
                <c:pt idx="7">
                  <c:v>46123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</c:numCache>
            </c:numRef>
          </c:cat>
          <c:val>
            <c:numRef>
              <c:f>'Cell 3 603'!$D$16:$H$16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'Cell 3 603'!$B$17:$C$17</c:f>
              <c:strCache>
                <c:ptCount val="2"/>
                <c:pt idx="0">
                  <c:v>TARGET RUMP UP LEAN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3 603'!$D$8:$N$8</c:f>
              <c:numCache>
                <c:formatCode>m/d;@</c:formatCode>
                <c:ptCount val="11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  <c:pt idx="5">
                  <c:v>46121</c:v>
                </c:pt>
                <c:pt idx="6">
                  <c:v>46122</c:v>
                </c:pt>
                <c:pt idx="7">
                  <c:v>46123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</c:numCache>
            </c:numRef>
          </c:cat>
          <c:val>
            <c:numRef>
              <c:f>'Cell 3 603'!$D$17:$N$17</c:f>
              <c:numCache>
                <c:formatCode>General</c:formatCode>
                <c:ptCount val="1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48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7140480"/>
        <c:axId val="687141024"/>
      </c:lineChart>
      <c:dateAx>
        <c:axId val="687140480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41024"/>
        <c:crosses val="autoZero"/>
        <c:auto val="1"/>
        <c:lblOffset val="100"/>
        <c:baseTimeUnit val="days"/>
      </c:dateAx>
      <c:valAx>
        <c:axId val="687141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4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TRACKING RAMP UP OUTPUT MODEL 603 CELL 4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6359666031492593"/>
          <c:y val="2.83645696167572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975734139648638E-2"/>
          <c:y val="0.15948532136655291"/>
          <c:w val="0.93904306496106293"/>
          <c:h val="0.61093167161885287"/>
        </c:manualLayout>
      </c:layout>
      <c:lineChart>
        <c:grouping val="standard"/>
        <c:varyColors val="0"/>
        <c:ser>
          <c:idx val="0"/>
          <c:order val="0"/>
          <c:tx>
            <c:strRef>
              <c:f>'Cell 4 603'!$B$9:$B$10</c:f>
              <c:strCache>
                <c:ptCount val="1"/>
                <c:pt idx="0">
                  <c:v>Cutting+Prep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4 603'!$AK$8:$CA$8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4 603'!$AK$10:$CA$10</c:f>
              <c:numCache>
                <c:formatCode>_(* #,##0_);_(* \(#,##0\);_(* "-"??_);_(@_)</c:formatCode>
                <c:ptCount val="5"/>
                <c:pt idx="0">
                  <c:v>118.8</c:v>
                </c:pt>
                <c:pt idx="1">
                  <c:v>122.4</c:v>
                </c:pt>
                <c:pt idx="2">
                  <c:v>116</c:v>
                </c:pt>
                <c:pt idx="3">
                  <c:v>135.5</c:v>
                </c:pt>
                <c:pt idx="4">
                  <c:v>96.833333333333329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'Cell 4 603'!$B$11:$B$12</c:f>
              <c:strCache>
                <c:ptCount val="1"/>
                <c:pt idx="0">
                  <c:v>Comshare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4 603'!$AK$8:$CA$8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4 603'!$AK$12:$CA$12</c:f>
              <c:numCache>
                <c:formatCode>_(* #,##0_);_(* \(#,##0\);_(* "-"??_);_(@_)</c:formatCode>
                <c:ptCount val="5"/>
                <c:pt idx="0">
                  <c:v>60.5</c:v>
                </c:pt>
                <c:pt idx="1">
                  <c:v>62.5</c:v>
                </c:pt>
                <c:pt idx="2">
                  <c:v>62.75</c:v>
                </c:pt>
                <c:pt idx="3">
                  <c:v>53</c:v>
                </c:pt>
                <c:pt idx="4">
                  <c:v>50.75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'Cell 4 603'!$B$13:$B$14</c:f>
              <c:strCache>
                <c:ptCount val="1"/>
                <c:pt idx="0">
                  <c:v>Sewing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4 603'!$AK$8:$CA$8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4 603'!$AK$14:$CA$14</c:f>
              <c:numCache>
                <c:formatCode>_(* #,##0_);_(* \(#,##0\);_(* "-"??_);_(@_)</c:formatCode>
                <c:ptCount val="5"/>
                <c:pt idx="0">
                  <c:v>70</c:v>
                </c:pt>
                <c:pt idx="1">
                  <c:v>75</c:v>
                </c:pt>
                <c:pt idx="2">
                  <c:v>70</c:v>
                </c:pt>
                <c:pt idx="3">
                  <c:v>62.5</c:v>
                </c:pt>
                <c:pt idx="4">
                  <c:v>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'Cell 4 603'!$B$15:$B$16</c:f>
              <c:strCache>
                <c:ptCount val="1"/>
                <c:pt idx="0">
                  <c:v>Assembly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4 603'!$AK$8:$CA$8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4 603'!$AK$16:$CA$16</c:f>
              <c:numCache>
                <c:formatCode>_(* #,##0_);_(* \(#,##0\);_(* "-"??_);_(@_)</c:formatCode>
                <c:ptCount val="5"/>
                <c:pt idx="0">
                  <c:v>13.181818181818182</c:v>
                </c:pt>
                <c:pt idx="1">
                  <c:v>13.181818181818182</c:v>
                </c:pt>
                <c:pt idx="2">
                  <c:v>61.363636363636367</c:v>
                </c:pt>
                <c:pt idx="3">
                  <c:v>63.75</c:v>
                </c:pt>
                <c:pt idx="4">
                  <c:v>50.916666666666664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'Cell 4 603'!$B$17:$C$17</c:f>
              <c:strCache>
                <c:ptCount val="2"/>
                <c:pt idx="0">
                  <c:v>TARGET RUMP UP LEAN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4 603'!$AK$8:$CA$8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4 603'!$AK$17:$CA$17</c:f>
              <c:numCache>
                <c:formatCode>General</c:formatCode>
                <c:ptCount val="5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4215328"/>
        <c:axId val="614219136"/>
      </c:lineChart>
      <c:dateAx>
        <c:axId val="614215328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19136"/>
        <c:crosses val="autoZero"/>
        <c:auto val="1"/>
        <c:lblOffset val="100"/>
        <c:baseTimeUnit val="days"/>
      </c:dateAx>
      <c:valAx>
        <c:axId val="6142191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1532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TRACKING RAMP UP OUTPUT MODEL 603 CELL 5</a:t>
            </a:r>
          </a:p>
        </c:rich>
      </c:tx>
      <c:layout>
        <c:manualLayout>
          <c:xMode val="edge"/>
          <c:yMode val="edge"/>
          <c:x val="0.42244490134993268"/>
          <c:y val="2.83645196181234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975734139648638E-2"/>
          <c:y val="0.15948532136655291"/>
          <c:w val="0.93904306496106293"/>
          <c:h val="0.61093167161885287"/>
        </c:manualLayout>
      </c:layout>
      <c:lineChart>
        <c:grouping val="standard"/>
        <c:varyColors val="0"/>
        <c:ser>
          <c:idx val="0"/>
          <c:order val="0"/>
          <c:tx>
            <c:strRef>
              <c:f>'Cell 5 603'!$B$9:$B$10</c:f>
              <c:strCache>
                <c:ptCount val="1"/>
                <c:pt idx="0">
                  <c:v>Cutting+Prep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5 603'!$BK$8:$BR$8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5 603'!$AB$10:$BJ$10</c:f>
            </c:numRef>
          </c:val>
          <c:smooth val="0"/>
        </c:ser>
        <c:ser>
          <c:idx val="1"/>
          <c:order val="1"/>
          <c:tx>
            <c:strRef>
              <c:f>'Cell 5 603'!$B$11:$B$12</c:f>
              <c:strCache>
                <c:ptCount val="1"/>
                <c:pt idx="0">
                  <c:v>Comshare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5 603'!$BK$8:$BR$8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5 603'!$AB$12:$BJ$12</c:f>
            </c:numRef>
          </c:val>
          <c:smooth val="0"/>
        </c:ser>
        <c:ser>
          <c:idx val="2"/>
          <c:order val="2"/>
          <c:tx>
            <c:strRef>
              <c:f>'Cell 5 603'!$B$13:$B$14</c:f>
              <c:strCache>
                <c:ptCount val="1"/>
                <c:pt idx="0">
                  <c:v>Sewing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5 603'!$BK$8:$BR$8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5 603'!$AB$14:$BJ$14</c:f>
            </c:numRef>
          </c:val>
          <c:smooth val="0"/>
        </c:ser>
        <c:ser>
          <c:idx val="3"/>
          <c:order val="3"/>
          <c:tx>
            <c:strRef>
              <c:f>'Cell 5 603'!$B$15:$B$16</c:f>
              <c:strCache>
                <c:ptCount val="1"/>
                <c:pt idx="0">
                  <c:v>Assembly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5 603'!$BK$8:$BR$8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5 603'!$AB$16:$BJ$16</c:f>
            </c:numRef>
          </c:val>
          <c:smooth val="0"/>
        </c:ser>
        <c:ser>
          <c:idx val="4"/>
          <c:order val="4"/>
          <c:tx>
            <c:strRef>
              <c:f>'Cell 5 603'!$B$17:$E$17</c:f>
              <c:strCache>
                <c:ptCount val="4"/>
                <c:pt idx="0">
                  <c:v>TARGET RUMP UP LEAN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5 603'!$BK$8:$BR$8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5 603'!$AB$17:$BJ$17</c:f>
            </c:numRef>
          </c:val>
          <c:smooth val="0"/>
        </c:ser>
        <c:ser>
          <c:idx val="5"/>
          <c:order val="5"/>
          <c:tx>
            <c:strRef>
              <c:f>'Cell 5 603'!$B$9:$B$10</c:f>
              <c:strCache>
                <c:ptCount val="1"/>
                <c:pt idx="0">
                  <c:v>Cutting+Prep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5 603'!$BK$8:$BR$8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5 603'!$BK$10:$BR$10</c:f>
              <c:numCache>
                <c:formatCode>_(* #,##0_);_(* \(#,##0\);_(* "-"??_);_(@_)</c:formatCode>
                <c:ptCount val="5"/>
                <c:pt idx="0">
                  <c:v>121.8</c:v>
                </c:pt>
                <c:pt idx="1">
                  <c:v>111</c:v>
                </c:pt>
                <c:pt idx="2">
                  <c:v>134.6</c:v>
                </c:pt>
                <c:pt idx="3">
                  <c:v>114</c:v>
                </c:pt>
                <c:pt idx="4">
                  <c:v>94.5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'Cell 5 603'!$B$11:$B$12</c:f>
              <c:strCache>
                <c:ptCount val="1"/>
                <c:pt idx="0">
                  <c:v>Comshare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5 603'!$BK$8:$BR$8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5 603'!$BK$12:$BR$12</c:f>
              <c:numCache>
                <c:formatCode>_(* #,##0_);_(* \(#,##0\);_(* "-"??_);_(@_)</c:formatCode>
                <c:ptCount val="5"/>
                <c:pt idx="0">
                  <c:v>78.545454545454547</c:v>
                </c:pt>
                <c:pt idx="1">
                  <c:v>75.272727272727266</c:v>
                </c:pt>
                <c:pt idx="2">
                  <c:v>85.727272727272734</c:v>
                </c:pt>
                <c:pt idx="3">
                  <c:v>60.5</c:v>
                </c:pt>
                <c:pt idx="4">
                  <c:v>77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'Cell 5 603'!$B$13:$B$14</c:f>
              <c:strCache>
                <c:ptCount val="1"/>
                <c:pt idx="0">
                  <c:v>Sewing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5 603'!$BK$8:$BR$8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5 603'!$BK$14:$BR$14</c:f>
              <c:numCache>
                <c:formatCode>_(* #,##0_);_(* \(#,##0\);_(* "-"??_);_(@_)</c:formatCode>
                <c:ptCount val="5"/>
                <c:pt idx="0">
                  <c:v>81.818181818181813</c:v>
                </c:pt>
                <c:pt idx="1">
                  <c:v>82.909090909090907</c:v>
                </c:pt>
                <c:pt idx="2">
                  <c:v>81.818181818181813</c:v>
                </c:pt>
                <c:pt idx="3">
                  <c:v>67</c:v>
                </c:pt>
                <c:pt idx="4">
                  <c:v>75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'Cell 5 603'!$B$15:$B$16</c:f>
              <c:strCache>
                <c:ptCount val="1"/>
                <c:pt idx="0">
                  <c:v>Assembly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5 603'!$BK$8:$BR$8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5 603'!$BK$16:$BR$16</c:f>
              <c:numCache>
                <c:formatCode>_(* #,##0_);_(* \(#,##0\);_(* "-"??_);_(@_)</c:formatCode>
                <c:ptCount val="5"/>
                <c:pt idx="0">
                  <c:v>40.18181818181818</c:v>
                </c:pt>
                <c:pt idx="1">
                  <c:v>40.18181818181818</c:v>
                </c:pt>
                <c:pt idx="2">
                  <c:v>70.272727272727266</c:v>
                </c:pt>
                <c:pt idx="3">
                  <c:v>89.545454545454547</c:v>
                </c:pt>
                <c:pt idx="4">
                  <c:v>71.36363636363636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'Cell 5 603'!$B$17:$E$17</c:f>
              <c:strCache>
                <c:ptCount val="4"/>
                <c:pt idx="0">
                  <c:v>TARGET RUMP UP LEAN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5 603'!$BK$8:$BR$8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5 603'!$BK$17:$BR$17</c:f>
              <c:numCache>
                <c:formatCode>General</c:formatCode>
                <c:ptCount val="5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4214784"/>
        <c:axId val="614216960"/>
      </c:lineChart>
      <c:dateAx>
        <c:axId val="614214784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16960"/>
        <c:crosses val="autoZero"/>
        <c:auto val="1"/>
        <c:lblOffset val="100"/>
        <c:baseTimeUnit val="days"/>
      </c:dateAx>
      <c:valAx>
        <c:axId val="614216960"/>
        <c:scaling>
          <c:orientation val="minMax"/>
          <c:max val="1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1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TRACKING RAMP UP OUTPUT MODEL 603 CELL 9</a:t>
            </a:r>
          </a:p>
        </c:rich>
      </c:tx>
      <c:layout>
        <c:manualLayout>
          <c:xMode val="edge"/>
          <c:yMode val="edge"/>
          <c:x val="0.36359666031492593"/>
          <c:y val="2.83645696167572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975734139648638E-2"/>
          <c:y val="0.15948532136655291"/>
          <c:w val="0.93904306496106293"/>
          <c:h val="0.61093167161885287"/>
        </c:manualLayout>
      </c:layout>
      <c:lineChart>
        <c:grouping val="standard"/>
        <c:varyColors val="0"/>
        <c:ser>
          <c:idx val="0"/>
          <c:order val="0"/>
          <c:tx>
            <c:strRef>
              <c:f>'Cell 9 603'!$B$9:$B$10</c:f>
              <c:strCache>
                <c:ptCount val="1"/>
                <c:pt idx="0">
                  <c:v>Cutting+Prep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9 603'!$F$8:$J$8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9 603'!$F$10:$J$10</c:f>
              <c:numCache>
                <c:formatCode>_(* #,##0_);_(* \(#,##0\);_(* "-"??_);_(@_)</c:formatCode>
                <c:ptCount val="5"/>
                <c:pt idx="0">
                  <c:v>107.4</c:v>
                </c:pt>
                <c:pt idx="1">
                  <c:v>57.6</c:v>
                </c:pt>
                <c:pt idx="2">
                  <c:v>8.4</c:v>
                </c:pt>
                <c:pt idx="3">
                  <c:v>30</c:v>
                </c:pt>
                <c:pt idx="4">
                  <c:v>28.5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'Cell 9 603'!$B$11:$B$12</c:f>
              <c:strCache>
                <c:ptCount val="1"/>
                <c:pt idx="0">
                  <c:v>Comshare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9 603'!$F$8:$J$8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9 603'!$F$12:$J$12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13.5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'Cell 9 603'!$B$13:$B$14</c:f>
              <c:strCache>
                <c:ptCount val="1"/>
                <c:pt idx="0">
                  <c:v>Sewing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9 603'!$F$8:$J$8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9 603'!$F$14:$J$14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'Cell 9 603'!$B$15:$B$16</c:f>
              <c:strCache>
                <c:ptCount val="1"/>
                <c:pt idx="0">
                  <c:v>Assembly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9 603'!$F$8:$J$8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9 603'!$F$16:$J$16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'Cell 9 603'!$B$17:$E$17</c:f>
              <c:strCache>
                <c:ptCount val="4"/>
                <c:pt idx="0">
                  <c:v>TARGET RUMP UP LEAN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9 603'!$F$8:$J$8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9 603'!$F$17:$J$17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4218592"/>
        <c:axId val="614219680"/>
      </c:lineChart>
      <c:dateAx>
        <c:axId val="614218592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19680"/>
        <c:crosses val="autoZero"/>
        <c:auto val="1"/>
        <c:lblOffset val="100"/>
        <c:baseTimeUnit val="days"/>
      </c:dateAx>
      <c:valAx>
        <c:axId val="6142196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1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TRACKING RAMP UP OUTPUT MODEL 603 CELL 10</a:t>
            </a:r>
          </a:p>
        </c:rich>
      </c:tx>
      <c:layout>
        <c:manualLayout>
          <c:xMode val="edge"/>
          <c:yMode val="edge"/>
          <c:x val="0.44601588497090039"/>
          <c:y val="2.8364613082956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975734139648638E-2"/>
          <c:y val="0.15948532136655291"/>
          <c:w val="0.93904306496106293"/>
          <c:h val="0.61093167161885287"/>
        </c:manualLayout>
      </c:layout>
      <c:lineChart>
        <c:grouping val="standard"/>
        <c:varyColors val="0"/>
        <c:ser>
          <c:idx val="0"/>
          <c:order val="0"/>
          <c:tx>
            <c:strRef>
              <c:f>'Cell 10 603'!$B$9:$B$10</c:f>
              <c:strCache>
                <c:ptCount val="1"/>
                <c:pt idx="0">
                  <c:v>Cutting+Prep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10 603'!$BA$8:$BH$8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10 603'!$R$10:$AY$10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B97-40BC-9729-7A292E1E406E}"/>
            </c:ext>
          </c:extLst>
        </c:ser>
        <c:ser>
          <c:idx val="1"/>
          <c:order val="1"/>
          <c:tx>
            <c:strRef>
              <c:f>'Cell 10 603'!$B$11:$B$12</c:f>
              <c:strCache>
                <c:ptCount val="1"/>
                <c:pt idx="0">
                  <c:v>Comshare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10 603'!$BA$8:$BH$8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10 603'!$R$12:$AY$12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B97-40BC-9729-7A292E1E406E}"/>
            </c:ext>
          </c:extLst>
        </c:ser>
        <c:ser>
          <c:idx val="2"/>
          <c:order val="2"/>
          <c:tx>
            <c:strRef>
              <c:f>'Cell 10 603'!$B$13:$B$14</c:f>
              <c:strCache>
                <c:ptCount val="1"/>
                <c:pt idx="0">
                  <c:v>Sewing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10 603'!$BA$8:$BH$8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10 603'!$R$14:$AY$14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B97-40BC-9729-7A292E1E406E}"/>
            </c:ext>
          </c:extLst>
        </c:ser>
        <c:ser>
          <c:idx val="4"/>
          <c:order val="3"/>
          <c:tx>
            <c:strRef>
              <c:f>'Cell 10 603'!$B$15:$B$16</c:f>
              <c:strCache>
                <c:ptCount val="1"/>
                <c:pt idx="0">
                  <c:v>Assembly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10 603'!$BA$8:$BH$8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10 603'!$R$16:$AY$16</c:f>
            </c:numRef>
          </c:val>
          <c:smooth val="0"/>
        </c:ser>
        <c:ser>
          <c:idx val="3"/>
          <c:order val="4"/>
          <c:tx>
            <c:strRef>
              <c:f>'Cell 10 603'!$B$17:$E$17</c:f>
              <c:strCache>
                <c:ptCount val="4"/>
                <c:pt idx="0">
                  <c:v>TARGET RAMP UP LEAN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10 603'!$BA$8:$BH$8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10 603'!$R$17:$AY$17</c:f>
            </c:numRef>
          </c:val>
          <c:smooth val="0"/>
        </c:ser>
        <c:ser>
          <c:idx val="5"/>
          <c:order val="5"/>
          <c:tx>
            <c:strRef>
              <c:f>'Cell 10 603'!$B$9:$B$10</c:f>
              <c:strCache>
                <c:ptCount val="1"/>
                <c:pt idx="0">
                  <c:v>Cutting+Prep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10 603'!$BA$8:$BH$8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10 603'!$BA$10:$BH$10</c:f>
              <c:numCache>
                <c:formatCode>_(* #,##0_);_(* \(#,##0\);_(* "-"??_);_(@_)</c:formatCode>
                <c:ptCount val="5"/>
                <c:pt idx="0">
                  <c:v>89.4</c:v>
                </c:pt>
                <c:pt idx="1">
                  <c:v>102</c:v>
                </c:pt>
                <c:pt idx="2">
                  <c:v>112.2</c:v>
                </c:pt>
                <c:pt idx="3">
                  <c:v>90.5</c:v>
                </c:pt>
                <c:pt idx="4">
                  <c:v>92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'Cell 10 603'!$B$11:$B$12</c:f>
              <c:strCache>
                <c:ptCount val="1"/>
                <c:pt idx="0">
                  <c:v>Comshare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10 603'!$BA$8:$BH$8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10 603'!$BA$12:$BH$12</c:f>
              <c:numCache>
                <c:formatCode>_(* #,##0_);_(* \(#,##0\);_(* "-"??_);_(@_)</c:formatCode>
                <c:ptCount val="5"/>
                <c:pt idx="0">
                  <c:v>71.63636363636364</c:v>
                </c:pt>
                <c:pt idx="1">
                  <c:v>62.636363636363633</c:v>
                </c:pt>
                <c:pt idx="2">
                  <c:v>60.363636363636367</c:v>
                </c:pt>
                <c:pt idx="3">
                  <c:v>60</c:v>
                </c:pt>
                <c:pt idx="4">
                  <c:v>64.583333333333329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'Cell 10 603'!$B$13:$B$14</c:f>
              <c:strCache>
                <c:ptCount val="1"/>
                <c:pt idx="0">
                  <c:v>Sewing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10 603'!$BA$8:$BH$8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10 603'!$BA$14:$BH$14</c:f>
              <c:numCache>
                <c:formatCode>_(* #,##0_);_(* \(#,##0\);_(* "-"??_);_(@_)</c:formatCode>
                <c:ptCount val="5"/>
                <c:pt idx="0">
                  <c:v>76.36363636363636</c:v>
                </c:pt>
                <c:pt idx="1">
                  <c:v>78.545454545454547</c:v>
                </c:pt>
                <c:pt idx="2">
                  <c:v>80</c:v>
                </c:pt>
                <c:pt idx="3">
                  <c:v>70</c:v>
                </c:pt>
                <c:pt idx="4">
                  <c:v>71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'Cell 10 603'!$B$15:$B$16</c:f>
              <c:strCache>
                <c:ptCount val="1"/>
                <c:pt idx="0">
                  <c:v>Assembly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10 603'!$BA$8:$BH$8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10 603'!$BA$16:$BH$16</c:f>
              <c:numCache>
                <c:formatCode>_(* #,##0_);_(* \(#,##0\);_(* "-"??_);_(@_)</c:formatCode>
                <c:ptCount val="5"/>
                <c:pt idx="0">
                  <c:v>69.090909090909093</c:v>
                </c:pt>
                <c:pt idx="1">
                  <c:v>69.090909090909093</c:v>
                </c:pt>
                <c:pt idx="2">
                  <c:v>70</c:v>
                </c:pt>
                <c:pt idx="3">
                  <c:v>73</c:v>
                </c:pt>
                <c:pt idx="4">
                  <c:v>67.916666666666671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'Cell 10 603'!$B$17:$E$17</c:f>
              <c:strCache>
                <c:ptCount val="4"/>
                <c:pt idx="0">
                  <c:v>TARGET RAMP UP LEAN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10 603'!$BA$8:$BH$8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10 603'!$BA$17:$BH$17</c:f>
              <c:numCache>
                <c:formatCode>General</c:formatCode>
                <c:ptCount val="5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4213152"/>
        <c:axId val="775088928"/>
      </c:lineChart>
      <c:dateAx>
        <c:axId val="614213152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088928"/>
        <c:crosses val="autoZero"/>
        <c:auto val="1"/>
        <c:lblOffset val="100"/>
        <c:baseTimeUnit val="days"/>
      </c:dateAx>
      <c:valAx>
        <c:axId val="775088928"/>
        <c:scaling>
          <c:orientation val="minMax"/>
          <c:max val="1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1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TRACKING RAMP UP OUTPUT MODEL 603 CELL 10</a:t>
            </a:r>
          </a:p>
        </c:rich>
      </c:tx>
      <c:layout>
        <c:manualLayout>
          <c:xMode val="edge"/>
          <c:yMode val="edge"/>
          <c:x val="0.44601588497090039"/>
          <c:y val="2.8364613082956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000478931885228E-2"/>
          <c:y val="0.15948526557764228"/>
          <c:w val="0.93904306496106293"/>
          <c:h val="0.61093167161885287"/>
        </c:manualLayout>
      </c:layout>
      <c:lineChart>
        <c:grouping val="standard"/>
        <c:varyColors val="0"/>
        <c:ser>
          <c:idx val="0"/>
          <c:order val="0"/>
          <c:tx>
            <c:strRef>
              <c:f>'Cell 10 603'!$B$9:$B$10</c:f>
              <c:strCache>
                <c:ptCount val="1"/>
                <c:pt idx="0">
                  <c:v>Cutting+Prep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11 603'!$W$8:$AD$8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10 603'!$R$10:$AY$10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B97-40BC-9729-7A292E1E406E}"/>
            </c:ext>
          </c:extLst>
        </c:ser>
        <c:ser>
          <c:idx val="1"/>
          <c:order val="1"/>
          <c:tx>
            <c:strRef>
              <c:f>'Cell 10 603'!$B$11:$B$12</c:f>
              <c:strCache>
                <c:ptCount val="1"/>
                <c:pt idx="0">
                  <c:v>Comshare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11 603'!$W$8:$AD$8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10 603'!$R$12:$AY$12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B97-40BC-9729-7A292E1E406E}"/>
            </c:ext>
          </c:extLst>
        </c:ser>
        <c:ser>
          <c:idx val="2"/>
          <c:order val="2"/>
          <c:tx>
            <c:strRef>
              <c:f>'Cell 10 603'!$B$13:$B$14</c:f>
              <c:strCache>
                <c:ptCount val="1"/>
                <c:pt idx="0">
                  <c:v>Sewing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11 603'!$W$8:$AD$8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10 603'!$R$14:$AY$14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B97-40BC-9729-7A292E1E406E}"/>
            </c:ext>
          </c:extLst>
        </c:ser>
        <c:ser>
          <c:idx val="4"/>
          <c:order val="3"/>
          <c:tx>
            <c:strRef>
              <c:f>'Cell 10 603'!$B$15:$B$16</c:f>
              <c:strCache>
                <c:ptCount val="1"/>
                <c:pt idx="0">
                  <c:v>Assembly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11 603'!$W$8:$AD$8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10 603'!$R$16:$AY$16</c:f>
            </c:numRef>
          </c:val>
          <c:smooth val="0"/>
        </c:ser>
        <c:ser>
          <c:idx val="3"/>
          <c:order val="4"/>
          <c:tx>
            <c:strRef>
              <c:f>'Cell 10 603'!$B$17:$E$17</c:f>
              <c:strCache>
                <c:ptCount val="4"/>
                <c:pt idx="0">
                  <c:v>TARGET RAMP UP LEAN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11 603'!$W$8:$AD$8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10 603'!$R$17:$AY$17</c:f>
            </c:numRef>
          </c:val>
          <c:smooth val="0"/>
        </c:ser>
        <c:ser>
          <c:idx val="5"/>
          <c:order val="5"/>
          <c:tx>
            <c:strRef>
              <c:f>'Cell 11 603'!$B$9:$B$10</c:f>
              <c:strCache>
                <c:ptCount val="1"/>
                <c:pt idx="0">
                  <c:v>Cutting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11 603'!$W$8:$AD$8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11 603'!$W$10:$AD$10</c:f>
              <c:numCache>
                <c:formatCode>_(* #,##0_);_(* \(#,##0\);_(* "-"??_);_(@_)</c:formatCode>
                <c:ptCount val="5"/>
                <c:pt idx="0">
                  <c:v>112.6</c:v>
                </c:pt>
                <c:pt idx="1">
                  <c:v>80.400000000000006</c:v>
                </c:pt>
                <c:pt idx="2">
                  <c:v>22.2</c:v>
                </c:pt>
                <c:pt idx="3">
                  <c:v>79</c:v>
                </c:pt>
                <c:pt idx="4">
                  <c:v>86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'Cell 11 603'!$B$11:$B$12</c:f>
              <c:strCache>
                <c:ptCount val="1"/>
                <c:pt idx="0">
                  <c:v>Comshare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11 603'!$W$8:$AD$8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11 603'!$W$12:$AD$12</c:f>
              <c:numCache>
                <c:formatCode>_(* #,##0_);_(* \(#,##0\);_(* "-"??_);_(@_)</c:formatCode>
                <c:ptCount val="5"/>
                <c:pt idx="0">
                  <c:v>72.5</c:v>
                </c:pt>
                <c:pt idx="1">
                  <c:v>63.5</c:v>
                </c:pt>
                <c:pt idx="2">
                  <c:v>52</c:v>
                </c:pt>
                <c:pt idx="3">
                  <c:v>68</c:v>
                </c:pt>
                <c:pt idx="4">
                  <c:v>71.333333333333329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'Cell 11 603'!$B$13:$B$14</c:f>
              <c:strCache>
                <c:ptCount val="1"/>
                <c:pt idx="0">
                  <c:v>Sewing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11 603'!$W$8:$AD$8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11 603'!$W$14:$AD$14</c:f>
              <c:numCache>
                <c:formatCode>_(* #,##0_);_(* \(#,##0\);_(* "-"??_);_(@_)</c:formatCode>
                <c:ptCount val="5"/>
                <c:pt idx="0">
                  <c:v>67</c:v>
                </c:pt>
                <c:pt idx="1">
                  <c:v>67.5</c:v>
                </c:pt>
                <c:pt idx="2">
                  <c:v>58.5</c:v>
                </c:pt>
                <c:pt idx="3">
                  <c:v>74</c:v>
                </c:pt>
                <c:pt idx="4">
                  <c:v>70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'Cell 11 603'!$B$15:$B$16</c:f>
              <c:strCache>
                <c:ptCount val="1"/>
                <c:pt idx="0">
                  <c:v>Assembly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11 603'!$W$8:$AD$8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11 603'!$W$16:$AD$16</c:f>
              <c:numCache>
                <c:formatCode>_(* #,##0_);_(* \(#,##0\);_(* "-"??_);_(@_)</c:formatCode>
                <c:ptCount val="5"/>
                <c:pt idx="0">
                  <c:v>51.1</c:v>
                </c:pt>
                <c:pt idx="1">
                  <c:v>51.1</c:v>
                </c:pt>
                <c:pt idx="2">
                  <c:v>71.8</c:v>
                </c:pt>
                <c:pt idx="3">
                  <c:v>138.9</c:v>
                </c:pt>
                <c:pt idx="4">
                  <c:v>97.909090909090907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'Cell 11 603'!$B$17:$E$17</c:f>
              <c:strCache>
                <c:ptCount val="4"/>
                <c:pt idx="0">
                  <c:v>TARGET RAMP UP LEAN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11 603'!$W$8:$AD$8</c:f>
              <c:numCache>
                <c:formatCode>m/d;@</c:formatCode>
                <c:ptCount val="5"/>
                <c:pt idx="0">
                  <c:v>46115</c:v>
                </c:pt>
                <c:pt idx="1">
                  <c:v>46116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</c:numCache>
            </c:numRef>
          </c:cat>
          <c:val>
            <c:numRef>
              <c:f>'Cell 11 603'!$W$17:$AD$17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5091648"/>
        <c:axId val="775086752"/>
      </c:lineChart>
      <c:dateAx>
        <c:axId val="775091648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086752"/>
        <c:crosses val="autoZero"/>
        <c:auto val="1"/>
        <c:lblOffset val="100"/>
        <c:baseTimeUnit val="days"/>
      </c:dateAx>
      <c:valAx>
        <c:axId val="775086752"/>
        <c:scaling>
          <c:orientation val="minMax"/>
          <c:max val="1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09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TRACKING</a:t>
            </a:r>
            <a:r>
              <a:rPr lang="en-US" sz="1400" b="1" baseline="0"/>
              <a:t> RAMP UP OUTPUT </a:t>
            </a:r>
          </a:p>
          <a:p>
            <a:pPr>
              <a:defRPr b="1"/>
            </a:pPr>
            <a:r>
              <a:rPr lang="en-US" sz="1400" b="1" baseline="0"/>
              <a:t>COMPUTER STITCHING CELL 5 SHIFT 2 </a:t>
            </a:r>
          </a:p>
          <a:p>
            <a:pPr>
              <a:defRPr b="1"/>
            </a:pPr>
            <a:endParaRPr lang="en-US" sz="1400" b="1"/>
          </a:p>
        </c:rich>
      </c:tx>
      <c:layout>
        <c:manualLayout>
          <c:xMode val="edge"/>
          <c:yMode val="edge"/>
          <c:x val="0.29492761259896455"/>
          <c:y val="3.0374164262045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920418381316169E-2"/>
          <c:y val="0.15444544669158572"/>
          <c:w val="0.93904306496106293"/>
          <c:h val="0.61093167161885287"/>
        </c:manualLayout>
      </c:layout>
      <c:lineChart>
        <c:grouping val="standard"/>
        <c:varyColors val="0"/>
        <c:ser>
          <c:idx val="0"/>
          <c:order val="0"/>
          <c:tx>
            <c:strRef>
              <c:f>'Cell 5 CS Shift 2'!$B$9:$B$10</c:f>
              <c:strCache>
                <c:ptCount val="1"/>
                <c:pt idx="0">
                  <c:v>Computer Stitching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5 CS Shift 2'!$F$8:$Y$8</c:f>
              <c:numCache>
                <c:formatCode>m/d;@</c:formatCode>
                <c:ptCount val="20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46069</c:v>
                </c:pt>
                <c:pt idx="5">
                  <c:v>46070</c:v>
                </c:pt>
                <c:pt idx="6">
                  <c:v>46071</c:v>
                </c:pt>
                <c:pt idx="7">
                  <c:v>46072</c:v>
                </c:pt>
                <c:pt idx="8">
                  <c:v>46073</c:v>
                </c:pt>
                <c:pt idx="9">
                  <c:v>46074</c:v>
                </c:pt>
                <c:pt idx="10">
                  <c:v>46076</c:v>
                </c:pt>
                <c:pt idx="11">
                  <c:v>46077</c:v>
                </c:pt>
                <c:pt idx="12">
                  <c:v>46078</c:v>
                </c:pt>
                <c:pt idx="13">
                  <c:v>46079</c:v>
                </c:pt>
                <c:pt idx="14">
                  <c:v>46080</c:v>
                </c:pt>
                <c:pt idx="15">
                  <c:v>46081</c:v>
                </c:pt>
                <c:pt idx="16">
                  <c:v>46083</c:v>
                </c:pt>
                <c:pt idx="17">
                  <c:v>46084</c:v>
                </c:pt>
                <c:pt idx="18">
                  <c:v>46085</c:v>
                </c:pt>
                <c:pt idx="19">
                  <c:v>46086</c:v>
                </c:pt>
              </c:numCache>
            </c:numRef>
          </c:cat>
          <c:val>
            <c:numRef>
              <c:f>'Cell 5 CS Shift 2'!$F$10:$Y$10</c:f>
              <c:numCache>
                <c:formatCode>_(* #,##0_);_(* \(#,##0\);_(* "-"??_);_(@_)</c:formatCode>
                <c:ptCount val="20"/>
                <c:pt idx="0">
                  <c:v>32.25</c:v>
                </c:pt>
                <c:pt idx="1">
                  <c:v>29.25</c:v>
                </c:pt>
                <c:pt idx="2">
                  <c:v>45</c:v>
                </c:pt>
                <c:pt idx="3">
                  <c:v>56.25</c:v>
                </c:pt>
                <c:pt idx="4">
                  <c:v>54.625</c:v>
                </c:pt>
                <c:pt idx="5">
                  <c:v>39.625</c:v>
                </c:pt>
                <c:pt idx="6">
                  <c:v>51.125</c:v>
                </c:pt>
                <c:pt idx="7">
                  <c:v>12.75</c:v>
                </c:pt>
                <c:pt idx="8">
                  <c:v>56.25</c:v>
                </c:pt>
                <c:pt idx="9">
                  <c:v>42.75</c:v>
                </c:pt>
                <c:pt idx="10">
                  <c:v>45.75</c:v>
                </c:pt>
                <c:pt idx="11">
                  <c:v>54.75</c:v>
                </c:pt>
                <c:pt idx="12">
                  <c:v>45</c:v>
                </c:pt>
                <c:pt idx="13">
                  <c:v>60</c:v>
                </c:pt>
                <c:pt idx="14">
                  <c:v>49.625</c:v>
                </c:pt>
                <c:pt idx="15">
                  <c:v>56.714285714285715</c:v>
                </c:pt>
                <c:pt idx="16">
                  <c:v>58.25</c:v>
                </c:pt>
                <c:pt idx="17">
                  <c:v>42.75</c:v>
                </c:pt>
                <c:pt idx="18">
                  <c:v>40.5</c:v>
                </c:pt>
                <c:pt idx="19">
                  <c:v>38.25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B97-40BC-9729-7A292E1E406E}"/>
            </c:ext>
          </c:extLst>
        </c:ser>
        <c:ser>
          <c:idx val="3"/>
          <c:order val="1"/>
          <c:tx>
            <c:strRef>
              <c:f>'Cell 5 CS Shift 2'!$B$11:$E$11</c:f>
              <c:strCache>
                <c:ptCount val="4"/>
                <c:pt idx="0">
                  <c:v>TARGET RAMP UP LEAN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5 CS Shift 2'!$F$8:$Y$8</c:f>
              <c:numCache>
                <c:formatCode>m/d;@</c:formatCode>
                <c:ptCount val="20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46069</c:v>
                </c:pt>
                <c:pt idx="5">
                  <c:v>46070</c:v>
                </c:pt>
                <c:pt idx="6">
                  <c:v>46071</c:v>
                </c:pt>
                <c:pt idx="7">
                  <c:v>46072</c:v>
                </c:pt>
                <c:pt idx="8">
                  <c:v>46073</c:v>
                </c:pt>
                <c:pt idx="9">
                  <c:v>46074</c:v>
                </c:pt>
                <c:pt idx="10">
                  <c:v>46076</c:v>
                </c:pt>
                <c:pt idx="11">
                  <c:v>46077</c:v>
                </c:pt>
                <c:pt idx="12">
                  <c:v>46078</c:v>
                </c:pt>
                <c:pt idx="13">
                  <c:v>46079</c:v>
                </c:pt>
                <c:pt idx="14">
                  <c:v>46080</c:v>
                </c:pt>
                <c:pt idx="15">
                  <c:v>46081</c:v>
                </c:pt>
                <c:pt idx="16">
                  <c:v>46083</c:v>
                </c:pt>
                <c:pt idx="17">
                  <c:v>46084</c:v>
                </c:pt>
                <c:pt idx="18">
                  <c:v>46085</c:v>
                </c:pt>
                <c:pt idx="19">
                  <c:v>46086</c:v>
                </c:pt>
              </c:numCache>
            </c:numRef>
          </c:cat>
          <c:val>
            <c:numRef>
              <c:f>'Cell 5 CS Shift 2'!$F$11:$Y$11</c:f>
              <c:numCache>
                <c:formatCode>General</c:formatCode>
                <c:ptCount val="20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B97-40BC-9729-7A292E1E406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5089472"/>
        <c:axId val="775092192"/>
      </c:lineChart>
      <c:dateAx>
        <c:axId val="775089472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092192"/>
        <c:crosses val="autoZero"/>
        <c:auto val="1"/>
        <c:lblOffset val="100"/>
        <c:baseTimeUnit val="days"/>
      </c:dateAx>
      <c:valAx>
        <c:axId val="775092192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08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TRACKING</a:t>
            </a:r>
            <a:r>
              <a:rPr lang="en-US" sz="1400" b="1" baseline="0"/>
              <a:t> RAMP UP OUTPUT </a:t>
            </a:r>
          </a:p>
          <a:p>
            <a:pPr>
              <a:defRPr b="1"/>
            </a:pPr>
            <a:r>
              <a:rPr lang="en-US" sz="1400" b="1" baseline="0"/>
              <a:t>COMPUTER STITCHING CELL 7 SHIFT 2 </a:t>
            </a:r>
          </a:p>
          <a:p>
            <a:pPr>
              <a:defRPr b="1"/>
            </a:pPr>
            <a:endParaRPr lang="en-US" sz="1400" b="1"/>
          </a:p>
        </c:rich>
      </c:tx>
      <c:layout>
        <c:manualLayout>
          <c:xMode val="edge"/>
          <c:yMode val="edge"/>
          <c:x val="0.33322782027813225"/>
          <c:y val="3.0374305575673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975734139648638E-2"/>
          <c:y val="0.15948532136655291"/>
          <c:w val="0.93904306496106293"/>
          <c:h val="0.61093167161885287"/>
        </c:manualLayout>
      </c:layout>
      <c:lineChart>
        <c:grouping val="standard"/>
        <c:varyColors val="0"/>
        <c:ser>
          <c:idx val="0"/>
          <c:order val="0"/>
          <c:tx>
            <c:strRef>
              <c:f>'Cell 7 CS Shift 2'!$B$9:$B$10</c:f>
              <c:strCache>
                <c:ptCount val="1"/>
                <c:pt idx="0">
                  <c:v>Computer Stitching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7 CS Shift 2'!$F$8:$Y$8</c:f>
              <c:numCache>
                <c:formatCode>m/d;@</c:formatCode>
                <c:ptCount val="20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46069</c:v>
                </c:pt>
                <c:pt idx="5">
                  <c:v>46070</c:v>
                </c:pt>
                <c:pt idx="6">
                  <c:v>46071</c:v>
                </c:pt>
                <c:pt idx="7">
                  <c:v>46072</c:v>
                </c:pt>
                <c:pt idx="8">
                  <c:v>46073</c:v>
                </c:pt>
                <c:pt idx="9">
                  <c:v>46074</c:v>
                </c:pt>
                <c:pt idx="10">
                  <c:v>46076</c:v>
                </c:pt>
                <c:pt idx="11">
                  <c:v>46077</c:v>
                </c:pt>
                <c:pt idx="12">
                  <c:v>46078</c:v>
                </c:pt>
                <c:pt idx="13">
                  <c:v>46079</c:v>
                </c:pt>
                <c:pt idx="14">
                  <c:v>46080</c:v>
                </c:pt>
                <c:pt idx="15">
                  <c:v>46081</c:v>
                </c:pt>
                <c:pt idx="16">
                  <c:v>46083</c:v>
                </c:pt>
                <c:pt idx="17">
                  <c:v>46084</c:v>
                </c:pt>
                <c:pt idx="18">
                  <c:v>46085</c:v>
                </c:pt>
                <c:pt idx="19">
                  <c:v>46086</c:v>
                </c:pt>
              </c:numCache>
            </c:numRef>
          </c:cat>
          <c:val>
            <c:numRef>
              <c:f>'Cell 7 CS Shift 2'!$F$10:$Y$10</c:f>
              <c:numCache>
                <c:formatCode>_(* #,##0_);_(* \(#,##0\);_(* "-"??_);_(@_)</c:formatCode>
                <c:ptCount val="20"/>
                <c:pt idx="0">
                  <c:v>24</c:v>
                </c:pt>
                <c:pt idx="1">
                  <c:v>52.5</c:v>
                </c:pt>
                <c:pt idx="2">
                  <c:v>53.25</c:v>
                </c:pt>
                <c:pt idx="3">
                  <c:v>34.25</c:v>
                </c:pt>
                <c:pt idx="4">
                  <c:v>54.5</c:v>
                </c:pt>
                <c:pt idx="5">
                  <c:v>60</c:v>
                </c:pt>
                <c:pt idx="6">
                  <c:v>53.25</c:v>
                </c:pt>
                <c:pt idx="7">
                  <c:v>25.5</c:v>
                </c:pt>
                <c:pt idx="8">
                  <c:v>55</c:v>
                </c:pt>
                <c:pt idx="9">
                  <c:v>51.25</c:v>
                </c:pt>
                <c:pt idx="10">
                  <c:v>51</c:v>
                </c:pt>
                <c:pt idx="11">
                  <c:v>54</c:v>
                </c:pt>
                <c:pt idx="12">
                  <c:v>53.25</c:v>
                </c:pt>
                <c:pt idx="13">
                  <c:v>61.5</c:v>
                </c:pt>
                <c:pt idx="14">
                  <c:v>71</c:v>
                </c:pt>
                <c:pt idx="15">
                  <c:v>47.142857142857146</c:v>
                </c:pt>
                <c:pt idx="16">
                  <c:v>55.75</c:v>
                </c:pt>
                <c:pt idx="17">
                  <c:v>53.25</c:v>
                </c:pt>
                <c:pt idx="18">
                  <c:v>39</c:v>
                </c:pt>
                <c:pt idx="19">
                  <c:v>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B97-40BC-9729-7A292E1E406E}"/>
            </c:ext>
          </c:extLst>
        </c:ser>
        <c:ser>
          <c:idx val="1"/>
          <c:order val="1"/>
          <c:tx>
            <c:strRef>
              <c:f>'Cell 7 CS Shift 2'!$B$11:$E$11</c:f>
              <c:strCache>
                <c:ptCount val="4"/>
                <c:pt idx="0">
                  <c:v>TARGET RAMP UP LEAN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7 CS Shift 2'!$F$8:$Y$8</c:f>
              <c:numCache>
                <c:formatCode>m/d;@</c:formatCode>
                <c:ptCount val="20"/>
                <c:pt idx="0">
                  <c:v>46063</c:v>
                </c:pt>
                <c:pt idx="1">
                  <c:v>46064</c:v>
                </c:pt>
                <c:pt idx="2">
                  <c:v>46065</c:v>
                </c:pt>
                <c:pt idx="3">
                  <c:v>46066</c:v>
                </c:pt>
                <c:pt idx="4">
                  <c:v>46069</c:v>
                </c:pt>
                <c:pt idx="5">
                  <c:v>46070</c:v>
                </c:pt>
                <c:pt idx="6">
                  <c:v>46071</c:v>
                </c:pt>
                <c:pt idx="7">
                  <c:v>46072</c:v>
                </c:pt>
                <c:pt idx="8">
                  <c:v>46073</c:v>
                </c:pt>
                <c:pt idx="9">
                  <c:v>46074</c:v>
                </c:pt>
                <c:pt idx="10">
                  <c:v>46076</c:v>
                </c:pt>
                <c:pt idx="11">
                  <c:v>46077</c:v>
                </c:pt>
                <c:pt idx="12">
                  <c:v>46078</c:v>
                </c:pt>
                <c:pt idx="13">
                  <c:v>46079</c:v>
                </c:pt>
                <c:pt idx="14">
                  <c:v>46080</c:v>
                </c:pt>
                <c:pt idx="15">
                  <c:v>46081</c:v>
                </c:pt>
                <c:pt idx="16">
                  <c:v>46083</c:v>
                </c:pt>
                <c:pt idx="17">
                  <c:v>46084</c:v>
                </c:pt>
                <c:pt idx="18">
                  <c:v>46085</c:v>
                </c:pt>
                <c:pt idx="19">
                  <c:v>46086</c:v>
                </c:pt>
              </c:numCache>
            </c:numRef>
          </c:cat>
          <c:val>
            <c:numRef>
              <c:f>'Cell 7 CS Shift 2'!$F$11:$Y$11</c:f>
              <c:numCache>
                <c:formatCode>General</c:formatCode>
                <c:ptCount val="20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5090016"/>
        <c:axId val="775087840"/>
      </c:lineChart>
      <c:dateAx>
        <c:axId val="775090016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087840"/>
        <c:crosses val="autoZero"/>
        <c:auto val="1"/>
        <c:lblOffset val="100"/>
        <c:baseTimeUnit val="days"/>
      </c:dateAx>
      <c:valAx>
        <c:axId val="775087840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09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TRACKING RAMP UP OUTPUT MODEL 603 CELL D6</a:t>
            </a:r>
          </a:p>
        </c:rich>
      </c:tx>
      <c:layout>
        <c:manualLayout>
          <c:xMode val="edge"/>
          <c:yMode val="edge"/>
          <c:x val="0.44601588497090039"/>
          <c:y val="2.8364613082956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000478931885228E-2"/>
          <c:y val="0.15948526557764228"/>
          <c:w val="0.93904306496106293"/>
          <c:h val="0.61093167161885287"/>
        </c:manualLayout>
      </c:layout>
      <c:lineChart>
        <c:grouping val="standard"/>
        <c:varyColors val="0"/>
        <c:ser>
          <c:idx val="0"/>
          <c:order val="0"/>
          <c:tx>
            <c:strRef>
              <c:f>'Cell 10 603'!$B$9:$B$10</c:f>
              <c:strCache>
                <c:ptCount val="1"/>
                <c:pt idx="0">
                  <c:v>Cutting+Prep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D6'!$R$8:$W$8</c:f>
              <c:numCache>
                <c:formatCode>m/d;@</c:formatCode>
                <c:ptCount val="6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</c:numCache>
            </c:numRef>
          </c:cat>
          <c:val>
            <c:numRef>
              <c:f>'Cell 10 603'!$R$10:$AY$10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B97-40BC-9729-7A292E1E406E}"/>
            </c:ext>
          </c:extLst>
        </c:ser>
        <c:ser>
          <c:idx val="1"/>
          <c:order val="1"/>
          <c:tx>
            <c:strRef>
              <c:f>'Cell 10 603'!$B$11:$B$12</c:f>
              <c:strCache>
                <c:ptCount val="1"/>
                <c:pt idx="0">
                  <c:v>Comshare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D6'!$R$8:$W$8</c:f>
              <c:numCache>
                <c:formatCode>m/d;@</c:formatCode>
                <c:ptCount val="6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</c:numCache>
            </c:numRef>
          </c:cat>
          <c:val>
            <c:numRef>
              <c:f>'Cell 10 603'!$R$12:$AY$12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B97-40BC-9729-7A292E1E406E}"/>
            </c:ext>
          </c:extLst>
        </c:ser>
        <c:ser>
          <c:idx val="2"/>
          <c:order val="2"/>
          <c:tx>
            <c:strRef>
              <c:f>'Cell 10 603'!$B$13:$B$14</c:f>
              <c:strCache>
                <c:ptCount val="1"/>
                <c:pt idx="0">
                  <c:v>Sewing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D6'!$R$8:$W$8</c:f>
              <c:numCache>
                <c:formatCode>m/d;@</c:formatCode>
                <c:ptCount val="6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</c:numCache>
            </c:numRef>
          </c:cat>
          <c:val>
            <c:numRef>
              <c:f>'Cell 10 603'!$R$14:$AY$14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B97-40BC-9729-7A292E1E406E}"/>
            </c:ext>
          </c:extLst>
        </c:ser>
        <c:ser>
          <c:idx val="4"/>
          <c:order val="3"/>
          <c:tx>
            <c:strRef>
              <c:f>'Cell 10 603'!$B$15:$B$16</c:f>
              <c:strCache>
                <c:ptCount val="1"/>
                <c:pt idx="0">
                  <c:v>Assembly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D6'!$R$8:$W$8</c:f>
              <c:numCache>
                <c:formatCode>m/d;@</c:formatCode>
                <c:ptCount val="6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</c:numCache>
            </c:numRef>
          </c:cat>
          <c:val>
            <c:numRef>
              <c:f>'Cell 10 603'!$R$16:$AY$16</c:f>
            </c:numRef>
          </c:val>
          <c:smooth val="0"/>
        </c:ser>
        <c:ser>
          <c:idx val="3"/>
          <c:order val="4"/>
          <c:tx>
            <c:strRef>
              <c:f>'Cell 10 603'!$B$17:$E$17</c:f>
              <c:strCache>
                <c:ptCount val="4"/>
                <c:pt idx="0">
                  <c:v>TARGET RAMP UP LEAN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D6'!$R$8:$W$8</c:f>
              <c:numCache>
                <c:formatCode>m/d;@</c:formatCode>
                <c:ptCount val="6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</c:numCache>
            </c:numRef>
          </c:cat>
          <c:val>
            <c:numRef>
              <c:f>'Cell 10 603'!$R$17:$AY$17</c:f>
            </c:numRef>
          </c:val>
          <c:smooth val="0"/>
        </c:ser>
        <c:ser>
          <c:idx val="5"/>
          <c:order val="5"/>
          <c:tx>
            <c:strRef>
              <c:f>'Cell D6'!$B$9:$B$10</c:f>
              <c:strCache>
                <c:ptCount val="1"/>
                <c:pt idx="0">
                  <c:v>Cutting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D6'!$R$8:$W$8</c:f>
              <c:numCache>
                <c:formatCode>m/d;@</c:formatCode>
                <c:ptCount val="6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</c:numCache>
            </c:numRef>
          </c:cat>
          <c:val>
            <c:numRef>
              <c:f>'Cell D6'!$R$10:$W$10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'Cell D6'!$B$11:$B$12</c:f>
              <c:strCache>
                <c:ptCount val="1"/>
                <c:pt idx="0">
                  <c:v>Comshare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D6'!$R$8:$W$8</c:f>
              <c:numCache>
                <c:formatCode>m/d;@</c:formatCode>
                <c:ptCount val="6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</c:numCache>
            </c:numRef>
          </c:cat>
          <c:val>
            <c:numRef>
              <c:f>'Cell D6'!$R$12:$W$12</c:f>
              <c:numCache>
                <c:formatCode>_(* #,##0_);_(* \(#,##0\);_(* "-"??_);_(@_)</c:formatCode>
                <c:ptCount val="6"/>
                <c:pt idx="0">
                  <c:v>11.333333333333334</c:v>
                </c:pt>
                <c:pt idx="1">
                  <c:v>0</c:v>
                </c:pt>
                <c:pt idx="2">
                  <c:v>21.333333333333332</c:v>
                </c:pt>
                <c:pt idx="3">
                  <c:v>27.333333333333332</c:v>
                </c:pt>
                <c:pt idx="4">
                  <c:v>18</c:v>
                </c:pt>
                <c:pt idx="5">
                  <c:v>11.333333333333334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'Cell D6'!$B$13:$B$14</c:f>
              <c:strCache>
                <c:ptCount val="1"/>
                <c:pt idx="0">
                  <c:v>Sewing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D6'!$R$8:$W$8</c:f>
              <c:numCache>
                <c:formatCode>m/d;@</c:formatCode>
                <c:ptCount val="6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</c:numCache>
            </c:numRef>
          </c:cat>
          <c:val>
            <c:numRef>
              <c:f>'Cell D6'!$R$14:$W$14</c:f>
              <c:numCache>
                <c:formatCode>_(* #,##0_);_(* \(#,##0\);_(* "-"??_);_(@_)</c:formatCode>
                <c:ptCount val="6"/>
                <c:pt idx="0">
                  <c:v>11.333333333333334</c:v>
                </c:pt>
                <c:pt idx="1">
                  <c:v>10.666666666666666</c:v>
                </c:pt>
                <c:pt idx="2">
                  <c:v>16</c:v>
                </c:pt>
                <c:pt idx="3">
                  <c:v>26.666666666666668</c:v>
                </c:pt>
                <c:pt idx="4">
                  <c:v>26.666666666666668</c:v>
                </c:pt>
                <c:pt idx="5">
                  <c:v>22.666666666666668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'Cell D6'!$B$15:$B$16</c:f>
              <c:strCache>
                <c:ptCount val="1"/>
                <c:pt idx="0">
                  <c:v>Assembly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D6'!$R$8:$W$8</c:f>
              <c:numCache>
                <c:formatCode>m/d;@</c:formatCode>
                <c:ptCount val="6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</c:numCache>
            </c:numRef>
          </c:cat>
          <c:val>
            <c:numRef>
              <c:f>'Cell D6'!$R$16:$W$16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'Cell D6'!$B$17:$E$17</c:f>
              <c:strCache>
                <c:ptCount val="4"/>
                <c:pt idx="0">
                  <c:v>TARGET RAMP UP LEAN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'Cell D6'!$R$8:$W$8</c:f>
              <c:numCache>
                <c:formatCode>m/d;@</c:formatCode>
                <c:ptCount val="6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  <c:pt idx="5">
                  <c:v>46123</c:v>
                </c:pt>
              </c:numCache>
            </c:numRef>
          </c:cat>
          <c:val>
            <c:numRef>
              <c:f>'Cell D6'!$R$17:$W$17</c:f>
              <c:numCache>
                <c:formatCode>General</c:formatCode>
                <c:ptCount val="6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0633568"/>
        <c:axId val="620637376"/>
      </c:lineChart>
      <c:dateAx>
        <c:axId val="620633568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37376"/>
        <c:crosses val="autoZero"/>
        <c:auto val="1"/>
        <c:lblOffset val="100"/>
        <c:baseTimeUnit val="days"/>
      </c:dateAx>
      <c:valAx>
        <c:axId val="620637376"/>
        <c:scaling>
          <c:orientation val="minMax"/>
          <c:max val="1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3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TRACKING</a:t>
            </a:r>
            <a:r>
              <a:rPr lang="en-US" sz="1400" b="1" baseline="0"/>
              <a:t> RAMP UP OUTPUT </a:t>
            </a:r>
          </a:p>
          <a:p>
            <a:pPr>
              <a:defRPr b="1"/>
            </a:pPr>
            <a:r>
              <a:rPr lang="en-US" sz="1400" b="1" baseline="0"/>
              <a:t>SEWING BZ</a:t>
            </a:r>
          </a:p>
          <a:p>
            <a:pPr>
              <a:defRPr b="1"/>
            </a:pPr>
            <a:endParaRPr lang="en-US" sz="1400" b="1"/>
          </a:p>
        </c:rich>
      </c:tx>
      <c:layout>
        <c:manualLayout>
          <c:xMode val="edge"/>
          <c:yMode val="edge"/>
          <c:x val="0.37895858632524104"/>
          <c:y val="3.0374305575673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863050477959824E-2"/>
          <c:y val="0.15948546382850479"/>
          <c:w val="0.93904306496106293"/>
          <c:h val="0.61093167161885287"/>
        </c:manualLayout>
      </c:layout>
      <c:lineChart>
        <c:grouping val="standard"/>
        <c:varyColors val="0"/>
        <c:ser>
          <c:idx val="0"/>
          <c:order val="0"/>
          <c:tx>
            <c:strRef>
              <c:f>'Buffer Zone'!$B$9:$B$10</c:f>
              <c:strCache>
                <c:ptCount val="1"/>
                <c:pt idx="0">
                  <c:v>Sewing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'Buffer Zone'!$AR$8:$AV$8</c:f>
              <c:numCache>
                <c:formatCode>m/d;@</c:formatCode>
                <c:ptCount val="5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</c:numCache>
            </c:numRef>
          </c:cat>
          <c:val>
            <c:numRef>
              <c:f>'Buffer Zone'!$AR$10:$AV$10</c:f>
              <c:numCache>
                <c:formatCode>_(* #,##0_);_(* \(#,##0\);_(* "-"??_);_(@_)</c:formatCode>
                <c:ptCount val="5"/>
                <c:pt idx="0">
                  <c:v>21</c:v>
                </c:pt>
                <c:pt idx="1">
                  <c:v>17.25</c:v>
                </c:pt>
                <c:pt idx="2">
                  <c:v>20.25</c:v>
                </c:pt>
                <c:pt idx="3">
                  <c:v>27.75</c:v>
                </c:pt>
                <c:pt idx="4">
                  <c:v>38.25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'Buffer Zone'!$B$11:$E$11</c:f>
              <c:strCache>
                <c:ptCount val="4"/>
                <c:pt idx="0">
                  <c:v>TARGET RAMP UP LEAN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'Buffer Zone'!$AR$8:$AV$8</c:f>
              <c:numCache>
                <c:formatCode>m/d;@</c:formatCode>
                <c:ptCount val="5"/>
                <c:pt idx="0">
                  <c:v>46118</c:v>
                </c:pt>
                <c:pt idx="1">
                  <c:v>46119</c:v>
                </c:pt>
                <c:pt idx="2">
                  <c:v>46120</c:v>
                </c:pt>
                <c:pt idx="3">
                  <c:v>46121</c:v>
                </c:pt>
                <c:pt idx="4">
                  <c:v>46122</c:v>
                </c:pt>
              </c:numCache>
            </c:numRef>
          </c:cat>
          <c:val>
            <c:numRef>
              <c:f>'Buffer Zone'!$AR$11:$AV$11</c:f>
              <c:numCache>
                <c:formatCode>General</c:formatCode>
                <c:ptCount val="5"/>
                <c:pt idx="0">
                  <c:v>84</c:v>
                </c:pt>
                <c:pt idx="1">
                  <c:v>84</c:v>
                </c:pt>
                <c:pt idx="2">
                  <c:v>96</c:v>
                </c:pt>
                <c:pt idx="3">
                  <c:v>96</c:v>
                </c:pt>
                <c:pt idx="4">
                  <c:v>96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0638464"/>
        <c:axId val="620635744"/>
      </c:lineChart>
      <c:dateAx>
        <c:axId val="620638464"/>
        <c:scaling>
          <c:orientation val="minMax"/>
        </c:scaling>
        <c:delete val="0"/>
        <c:axPos val="b"/>
        <c:numFmt formatCode="m/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35744"/>
        <c:crosses val="autoZero"/>
        <c:auto val="1"/>
        <c:lblOffset val="100"/>
        <c:baseTimeUnit val="days"/>
      </c:dateAx>
      <c:valAx>
        <c:axId val="62063574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3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133</xdr:col>
      <xdr:colOff>93868</xdr:colOff>
      <xdr:row>2</xdr:row>
      <xdr:rowOff>17336</xdr:rowOff>
    </xdr:from>
    <xdr:to>
      <xdr:col>148</xdr:col>
      <xdr:colOff>506886</xdr:colOff>
      <xdr:row>20</xdr:row>
      <xdr:rowOff>161118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133</xdr:col>
      <xdr:colOff>81442</xdr:colOff>
      <xdr:row>23</xdr:row>
      <xdr:rowOff>7922</xdr:rowOff>
    </xdr:from>
    <xdr:to>
      <xdr:col>148</xdr:col>
      <xdr:colOff>537484</xdr:colOff>
      <xdr:row>41</xdr:row>
      <xdr:rowOff>163832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133</xdr:col>
      <xdr:colOff>91648</xdr:colOff>
      <xdr:row>44</xdr:row>
      <xdr:rowOff>23813</xdr:rowOff>
    </xdr:from>
    <xdr:to>
      <xdr:col>148</xdr:col>
      <xdr:colOff>596313</xdr:colOff>
      <xdr:row>64</xdr:row>
      <xdr:rowOff>202447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133</xdr:col>
      <xdr:colOff>93246</xdr:colOff>
      <xdr:row>67</xdr:row>
      <xdr:rowOff>0</xdr:rowOff>
    </xdr:from>
    <xdr:to>
      <xdr:col>149</xdr:col>
      <xdr:colOff>13608</xdr:colOff>
      <xdr:row>84</xdr:row>
      <xdr:rowOff>13608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244930</xdr:colOff>
      <xdr:row>17</xdr:row>
      <xdr:rowOff>65305</xdr:rowOff>
    </xdr:from>
    <xdr:to>
      <xdr:col>77</xdr:col>
      <xdr:colOff>1</xdr:colOff>
      <xdr:row>65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244930</xdr:colOff>
      <xdr:row>17</xdr:row>
      <xdr:rowOff>65305</xdr:rowOff>
    </xdr:from>
    <xdr:to>
      <xdr:col>115</xdr:col>
      <xdr:colOff>1</xdr:colOff>
      <xdr:row>73</xdr:row>
      <xdr:rowOff>144204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17</xdr:row>
      <xdr:rowOff>68036</xdr:rowOff>
    </xdr:from>
    <xdr:to>
      <xdr:col>102</xdr:col>
      <xdr:colOff>1</xdr:colOff>
      <xdr:row>73</xdr:row>
      <xdr:rowOff>103909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4081</xdr:colOff>
      <xdr:row>17</xdr:row>
      <xdr:rowOff>68037</xdr:rowOff>
    </xdr:from>
    <xdr:to>
      <xdr:col>67</xdr:col>
      <xdr:colOff>27214</xdr:colOff>
      <xdr:row>67</xdr:row>
      <xdr:rowOff>69273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27214</xdr:colOff>
      <xdr:row>17</xdr:row>
      <xdr:rowOff>163287</xdr:rowOff>
    </xdr:from>
    <xdr:to>
      <xdr:col>92</xdr:col>
      <xdr:colOff>435428</xdr:colOff>
      <xdr:row>71</xdr:row>
      <xdr:rowOff>163285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255443</xdr:colOff>
      <xdr:row>17</xdr:row>
      <xdr:rowOff>186171</xdr:rowOff>
    </xdr:from>
    <xdr:to>
      <xdr:col>64</xdr:col>
      <xdr:colOff>0</xdr:colOff>
      <xdr:row>64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1427508</xdr:colOff>
      <xdr:row>11</xdr:row>
      <xdr:rowOff>154951</xdr:rowOff>
    </xdr:from>
    <xdr:to>
      <xdr:col>19</xdr:col>
      <xdr:colOff>247650</xdr:colOff>
      <xdr:row>21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417859</xdr:colOff>
      <xdr:row>11</xdr:row>
      <xdr:rowOff>231151</xdr:rowOff>
    </xdr:from>
    <xdr:to>
      <xdr:col>20</xdr:col>
      <xdr:colOff>438150</xdr:colOff>
      <xdr:row>22</xdr:row>
      <xdr:rowOff>188819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255443</xdr:colOff>
      <xdr:row>17</xdr:row>
      <xdr:rowOff>186171</xdr:rowOff>
    </xdr:from>
    <xdr:to>
      <xdr:col>64</xdr:col>
      <xdr:colOff>0</xdr:colOff>
      <xdr:row>64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14368</xdr:colOff>
      <xdr:row>11</xdr:row>
      <xdr:rowOff>174002</xdr:rowOff>
    </xdr:from>
    <xdr:to>
      <xdr:col>85</xdr:col>
      <xdr:colOff>0</xdr:colOff>
      <xdr:row>27</xdr:row>
      <xdr:rowOff>95251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lter\upper\TECH\MERRY\178049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CH\MERRY\178049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ver "/>
      <sheetName val="Sheet1 "/>
      <sheetName val="Index "/>
      <sheetName val="Spec1 "/>
      <sheetName val="Spec ."/>
      <sheetName val="Spec.."/>
      <sheetName val="Spec,"/>
      <sheetName val="Spec "/>
      <sheetName val="Spec 6"/>
      <sheetName val="Spec7 "/>
      <sheetName val="Spec8 "/>
      <sheetName val="cutting   "/>
      <sheetName val="Punch Specification  "/>
      <sheetName val="Logo Specification"/>
      <sheetName val="Strap Specification"/>
      <sheetName val="Part &amp; Group Specification"/>
      <sheetName val="Reinf Placement"/>
      <sheetName val="Skiving instructions"/>
      <sheetName val="Pre-buffing"/>
      <sheetName val="Marking locations"/>
      <sheetName val="Folding Locations"/>
      <sheetName val="Stitching Over View"/>
      <sheetName val="stitching instructions "/>
      <sheetName val="Computer stitched"/>
      <sheetName val="Upper Molded Component Spec. "/>
      <sheetName val="Upper Molded Component Proc  "/>
      <sheetName val="Upper Measurement Spec"/>
      <sheetName val="178049A"/>
      <sheetName val="PFC Revice"/>
      <sheetName val="Cutting Die (1)"/>
      <sheetName val="Cutting Die (2)"/>
      <sheetName val="Cutting Die (3)"/>
      <sheetName val="Perf Specification"/>
      <sheetName val="Marking Location"/>
      <sheetName val="Marking Locations (2)"/>
      <sheetName val="Skiving Instruction (2)"/>
      <sheetName val="Spliting "/>
      <sheetName val="Reinf. Placement (1)"/>
      <sheetName val="Reinf. Placement (2)"/>
      <sheetName val="Stitching Instructions (1)"/>
      <sheetName val="Stitching Instructions (2)"/>
      <sheetName val="Stitching Instructions (3)"/>
      <sheetName val="Computer Stitching "/>
      <sheetName val="Upper Molded Component Spec."/>
      <sheetName val="PHYLON CSS"/>
      <sheetName val="PHYLON CSS SCHEDULES"/>
      <sheetName val="PHYLON CSS CONFIRMATION"/>
      <sheetName val="Outsole Color "/>
      <sheetName val="Outsole Preform Specifications"/>
      <sheetName val="Outsole Pressing Process"/>
      <sheetName val="Outsole Degreasing Process "/>
      <sheetName val="Stockfit'MS"/>
      <sheetName val="Stock Fiting UV-Light Proce "/>
      <sheetName val="Stock Fiting Process "/>
      <sheetName val="IY 06.07"/>
      <sheetName val="Assembly UV-Light Process. "/>
      <sheetName val="Assembly Process.6,7 "/>
      <sheetName val="Assembly Process.6,7"/>
      <sheetName val="IY08.09.10"/>
      <sheetName val="Assembly Process.8,9,10 "/>
      <sheetName val="Assembly Process.8,9,10 (2.)"/>
      <sheetName val="Back Part Moulding (Soccer TPR)"/>
      <sheetName val="Ecosole Instructions "/>
      <sheetName val="Sockliner Instructions"/>
      <sheetName val="Sock Liner Spec."/>
      <sheetName val="Sheet1"/>
      <sheetName val="Sheet2"/>
      <sheetName val="Sheet3"/>
      <sheetName val=" (6,7)"/>
      <sheetName val="(8,9,10)"/>
      <sheetName val="Cutting(1)"/>
      <sheetName val="Cutting(2)"/>
      <sheetName val="Cutting(3)"/>
      <sheetName val="Skiving Instruction (1)"/>
      <sheetName val="Spliting Instructions"/>
      <sheetName val="Tapering Instructions"/>
      <sheetName val="Marking Location (1)"/>
      <sheetName val="Marking Location (2)"/>
      <sheetName val="Trim &amp; Edge-painting"/>
      <sheetName val="Reinforcement Placement"/>
      <sheetName val="Folding Location"/>
      <sheetName val="Pre-Buffing Specification"/>
      <sheetName val="Stitching Instructions (4)"/>
      <sheetName val="Upper Laser Process- Spec."/>
      <sheetName val="Upper Laser Process-Spec (2)."/>
      <sheetName val="Upper Laser Process-Spec. (3)"/>
      <sheetName val="Sockliner  Process"/>
      <sheetName val="Outsole Color Schedule"/>
      <sheetName val="Outsole Preform Specification"/>
      <sheetName val="Outsole Pressing Process "/>
      <sheetName val="PU CSS CONFIRMATION"/>
      <sheetName val="PU CSS Schedules"/>
      <sheetName val="PU Midsole Spec.I"/>
      <sheetName val="Stock Fitting Process (8)"/>
      <sheetName val="Stock Fitting Process "/>
      <sheetName val="Stock Fitting Process"/>
      <sheetName val="Stock Fitting Process (2)"/>
      <sheetName val="Stock Fitting Process (3)"/>
      <sheetName val="Stockfit BPFC"/>
      <sheetName val="Assembling Process"/>
      <sheetName val="Assembling Process (2)"/>
      <sheetName val="Assembly BPFC"/>
      <sheetName val="Production Checklist"/>
      <sheetName val="Sockliner Specification"/>
      <sheetName val="Upper Measurement Spec."/>
      <sheetName val="製造流程說明書"/>
      <sheetName val="索引 (1)"/>
      <sheetName val="斬刀說明(1)"/>
      <sheetName val="斬刀說明(2)"/>
      <sheetName val="斬刀說明(3)"/>
      <sheetName val="斬刀說明(4)"/>
      <sheetName val="沖孔規格說明"/>
      <sheetName val="沖孔規格說明 (2)"/>
      <sheetName val="商標說明"/>
      <sheetName val="織帶規格說明"/>
      <sheetName val=" 削薄處指示說明"/>
      <sheetName val=" 削薄處指示說明 (2)"/>
      <sheetName val=" 削薄處指示說明 (3)"/>
      <sheetName val=" 削薄處指示說明 (4)"/>
      <sheetName val=" 削薄處指示說明 (5)"/>
      <sheetName val="倒角指示說明"/>
      <sheetName val="劃線印刷指示說明"/>
      <sheetName val="劃線印刷指示說明 (2)"/>
      <sheetName val="劃線印刷指示說明 (3)"/>
      <sheetName val="打粗指示"/>
      <sheetName val="補強位置說明"/>
      <sheetName val="補強位置說明(2)"/>
      <sheetName val="折邊指示說明 "/>
      <sheetName val="電腦針車部位指示說明"/>
      <sheetName val="預備組流程"/>
      <sheetName val="針車鞋面完成草圖"/>
      <sheetName val="針車流程(1)"/>
      <sheetName val="針車流程 (2)"/>
      <sheetName val="針車流程 (3)"/>
      <sheetName val="針車流程 (4)"/>
      <sheetName val="針車流程 (5)"/>
      <sheetName val="針車流程 (6)"/>
      <sheetName val="鞋面射出部位作業流程"/>
      <sheetName val=" 鞋面印刷作業流程"/>
      <sheetName val=" 鞋面高週波作業流程 (2)"/>
      <sheetName val="  鞋墊作業流程"/>
      <sheetName val="鞋墊製作規格"/>
      <sheetName val="鞋面相關距離測量"/>
      <sheetName val="Cover 313845-102((259.) (2)"/>
      <sheetName val="SOP"/>
      <sheetName val="Index (1)"/>
      <sheetName val="Logo Specification (2)"/>
      <sheetName val="Screen Printing (4)"/>
      <sheetName val="Upper HF Welding Process(5)"/>
      <sheetName val="Index (3)"/>
      <sheetName val="Bottom Component Process Spec."/>
      <sheetName val="Stock Fitting Process (4)"/>
      <sheetName val="Stock Fitting Process (5)"/>
      <sheetName val="Stockfit BPFC (2)"/>
      <sheetName val="Assembling Process (3)"/>
      <sheetName val="Assembly BPFC (2)"/>
      <sheetName val="Sockliner Sublimation Process"/>
      <sheetName val="Cutting D)e (1)"/>
      <sheetName val="Cutting D)e (2)"/>
      <sheetName val="Cutting D)e (3)"/>
      <sheetName val="Stitching Instructio.s (3)"/>
      <sheetName val="DG3285"/>
      <sheetName val="#REF"/>
      <sheetName val="SPRAY (A MX PLUS)"/>
      <sheetName val="BOLD SISTER-STRONG SISTER -TOR6"/>
      <sheetName val="SHOX NAVINA , SHOX REVEAL"/>
      <sheetName val="MODEL SHOX TURBO OZ (PS+TD)"/>
      <sheetName val="Spray Tower Machine"/>
      <sheetName val="Sheet1 (2)"/>
      <sheetName val="Cover_"/>
      <sheetName val="Sheet1_"/>
      <sheetName val="Index_"/>
      <sheetName val="Spec1_"/>
      <sheetName val="Spec__"/>
      <sheetName val="Spec__1"/>
      <sheetName val="Spec_"/>
      <sheetName val="Spec_6"/>
      <sheetName val="Spec7_"/>
      <sheetName val="Spec8_"/>
      <sheetName val="cutting___"/>
      <sheetName val="Punch_Specification__"/>
      <sheetName val="Logo_Specification"/>
      <sheetName val="Strap_Specification"/>
      <sheetName val="Part_&amp;_Group_Specification"/>
      <sheetName val="Reinf_Placement"/>
      <sheetName val="Skiving_instructions"/>
      <sheetName val="Marking_locations"/>
      <sheetName val="Folding_Locations"/>
      <sheetName val="Stitching_Over_View"/>
      <sheetName val="stitching_instructions_"/>
      <sheetName val="Computer_stitched"/>
      <sheetName val="Upper_Molded_Component_Spec__"/>
      <sheetName val="Upper_Molded_Component_Proc__"/>
      <sheetName val="Upper_Measurement_Spec"/>
      <sheetName val="PFC_Revice"/>
      <sheetName val="Cutting_Die_(1)"/>
      <sheetName val="Cutting_Die_(2)"/>
      <sheetName val="Cutting_Die_(3)"/>
      <sheetName val="Perf_Specification"/>
      <sheetName val="Marking_Location"/>
      <sheetName val="Marking_Locations_(2)"/>
      <sheetName val="Skiving_Instruction_(2)"/>
      <sheetName val="Spliting_"/>
      <sheetName val="Reinf__Placement_(1)"/>
      <sheetName val="Reinf__Placement_(2)"/>
      <sheetName val="Stitching_Instructions_(1)"/>
      <sheetName val="Stitching_Instructions_(2)"/>
      <sheetName val="Stitching_Instructions_(3)"/>
      <sheetName val="Computer_Stitching_"/>
      <sheetName val="Upper_Molded_Component_Spec_"/>
      <sheetName val="PHYLON_CSS"/>
      <sheetName val="PHYLON_CSS_SCHEDULES"/>
      <sheetName val="PHYLON_CSS_CONFIRMATION"/>
      <sheetName val="Outsole_Color_"/>
      <sheetName val="Outsole_Preform_Specifications"/>
      <sheetName val="Outsole_Pressing_Process"/>
      <sheetName val="Outsole_Degreasing_Process_"/>
      <sheetName val="Stock_Fiting_UV-Light_Proce_"/>
      <sheetName val="Stock_Fiting_Process_"/>
      <sheetName val="IY_06_07"/>
      <sheetName val="Assembly_UV-Light_Process__"/>
      <sheetName val="Assembly_Process_6,7_"/>
      <sheetName val="Assembly_Process_6,7"/>
      <sheetName val="IY08_09_10"/>
      <sheetName val="Assembly_Process_8,9,10_"/>
      <sheetName val="Assembly_Process_8,9,10_(2_)"/>
      <sheetName val="Back_Part_Moulding_(Soccer_TPR)"/>
      <sheetName val="Ecosole_Instructions_"/>
      <sheetName val="Sockliner_Instructions"/>
      <sheetName val="Sock_Liner_Spec_"/>
      <sheetName val="_(6,7)"/>
      <sheetName val="Skiving_Instruction_(1)"/>
      <sheetName val="Spliting_Instructions"/>
      <sheetName val="Tapering_Instructions"/>
      <sheetName val="Marking_Location_(1)"/>
      <sheetName val="Marking_Location_(2)"/>
      <sheetName val="Trim_&amp;_Edge-painting"/>
      <sheetName val="Reinforcement_Placement"/>
      <sheetName val="Folding_Location"/>
      <sheetName val="Pre-Buffing_Specification"/>
      <sheetName val="Stitching_Instructions_(4)"/>
      <sheetName val="Upper_Laser_Process-_Spec_"/>
      <sheetName val="Upper_Laser_Process-Spec_(2)_"/>
      <sheetName val="Upper_Laser_Process-Spec__(3)"/>
      <sheetName val="Sockliner__Process"/>
      <sheetName val="Outsole_Color_Schedule"/>
      <sheetName val="Outsole_Preform_Specification"/>
      <sheetName val="Outsole_Pressing_Process_"/>
      <sheetName val="PU_CSS_CONFIRMATION"/>
      <sheetName val="PU_CSS_Schedules"/>
      <sheetName val="PU_Midsole_Spec_I"/>
      <sheetName val="Stock_Fitting_Process_(8)"/>
      <sheetName val="Stock_Fitting_Process_"/>
      <sheetName val="Stock_Fitting_Process"/>
      <sheetName val="Stock_Fitting_Process_(2)"/>
      <sheetName val="Stock_Fitting_Process_(3)"/>
      <sheetName val="Stockfit_BPFC"/>
      <sheetName val="Assembling_Process"/>
      <sheetName val="Assembling_Process_(2)"/>
      <sheetName val="Assembly_BPFC"/>
      <sheetName val="Production_Checklist"/>
      <sheetName val="Sockliner_Specification"/>
      <sheetName val="Upper_Measurement_Spec_"/>
      <sheetName val="索引_(1)"/>
      <sheetName val="沖孔規格說明_(2)"/>
      <sheetName val="_削薄處指示說明"/>
      <sheetName val="_削薄處指示說明_(2)"/>
      <sheetName val="_削薄處指示說明_(3)"/>
      <sheetName val="_削薄處指示說明_(4)"/>
      <sheetName val="_削薄處指示說明_(5)"/>
      <sheetName val="劃線印刷指示說明_(2)"/>
      <sheetName val="劃線印刷指示說明_(3)"/>
      <sheetName val="折邊指示說明_"/>
      <sheetName val="針車流程_(2)"/>
      <sheetName val="針車流程_(3)"/>
      <sheetName val="針車流程_(4)"/>
      <sheetName val="針車流程_(5)"/>
      <sheetName val="針車流程_(6)"/>
      <sheetName val="_鞋面印刷作業流程"/>
      <sheetName val="_鞋面高週波作業流程_(2)"/>
      <sheetName val="__鞋墊作業流程"/>
      <sheetName val="Cover_313845-102((259_)_(2)"/>
      <sheetName val="Index_(1)"/>
      <sheetName val="Logo_Specification_(2)"/>
      <sheetName val="Screen_Printing_(4)"/>
      <sheetName val="Upper_HF_Welding_Process(5)"/>
      <sheetName val="Index_(3)"/>
      <sheetName val="Bottom_Component_Process_Spec_"/>
      <sheetName val="Stock_Fitting_Process_(4)"/>
      <sheetName val="Stock_Fitting_Process_(5)"/>
      <sheetName val="Stockfit_BPFC_(2)"/>
      <sheetName val="Assembling_Process_(3)"/>
      <sheetName val="Assembly_BPFC_(2)"/>
      <sheetName val="Sockliner_Sublimation_Process"/>
      <sheetName val="Cutting_D)e_(1)"/>
      <sheetName val="Cutting_D)e_(2)"/>
      <sheetName val="Cutting_D)e_(3)"/>
      <sheetName val="Stitching_Instructio_s_(3)"/>
      <sheetName val="Cover_1"/>
      <sheetName val="Sheet1_1"/>
      <sheetName val="Index_1"/>
      <sheetName val="Spec1_1"/>
      <sheetName val="Spec__2"/>
      <sheetName val="Spec__3"/>
      <sheetName val="Spec_1"/>
      <sheetName val="Spec_61"/>
      <sheetName val="Spec7_1"/>
      <sheetName val="Spec8_1"/>
      <sheetName val="cutting___1"/>
      <sheetName val="Punch_Specification__1"/>
      <sheetName val="Logo_Specification1"/>
      <sheetName val="Strap_Specification1"/>
      <sheetName val="Part_&amp;_Group_Specification1"/>
      <sheetName val="Reinf_Placement1"/>
      <sheetName val="Skiving_instructions1"/>
      <sheetName val="Marking_locations1"/>
      <sheetName val="Folding_Locations1"/>
      <sheetName val="Stitching_Over_View1"/>
      <sheetName val="stitching_instructions_1"/>
      <sheetName val="Computer_stitched1"/>
      <sheetName val="Upper_Molded_Component_Spec__1"/>
      <sheetName val="Upper_Molded_Component_Proc__1"/>
      <sheetName val="Upper_Measurement_Spec1"/>
      <sheetName val="PFC_Revice1"/>
      <sheetName val="Cutting_Die_(1)1"/>
      <sheetName val="Cutting_Die_(2)1"/>
      <sheetName val="Cutting_Die_(3)1"/>
      <sheetName val="Perf_Specification1"/>
      <sheetName val="Marking_Location1"/>
      <sheetName val="Marking_Locations_(2)1"/>
      <sheetName val="Skiving_Instruction_(2)1"/>
      <sheetName val="Spliting_1"/>
      <sheetName val="Reinf__Placement_(1)1"/>
      <sheetName val="Reinf__Placement_(2)1"/>
      <sheetName val="Stitching_Instructions_(1)1"/>
      <sheetName val="Stitching_Instructions_(2)1"/>
      <sheetName val="Stitching_Instructions_(3)1"/>
      <sheetName val="Computer_Stitching_1"/>
      <sheetName val="Upper_Molded_Component_Spec_1"/>
      <sheetName val="PHYLON_CSS1"/>
      <sheetName val="PHYLON_CSS_SCHEDULES1"/>
      <sheetName val="PHYLON_CSS_CONFIRMATION1"/>
      <sheetName val="Outsole_Color_1"/>
      <sheetName val="Outsole_Preform_Specifications1"/>
      <sheetName val="Outsole_Pressing_Process1"/>
      <sheetName val="Outsole_Degreasing_Process_1"/>
      <sheetName val="Stock_Fiting_UV-Light_Proce_1"/>
      <sheetName val="Stock_Fiting_Process_1"/>
      <sheetName val="IY_06_071"/>
      <sheetName val="Assembly_UV-Light_Process__1"/>
      <sheetName val="Assembly_Process_6,7_1"/>
      <sheetName val="Assembly_Process_6,71"/>
      <sheetName val="IY08_09_101"/>
      <sheetName val="Assembly_Process_8,9,10_1"/>
      <sheetName val="Assembly_Process_8,9,10_(2_)1"/>
      <sheetName val="Back_Part_Moulding_(Soccer_TPR1"/>
      <sheetName val="Ecosole_Instructions_1"/>
      <sheetName val="Sockliner_Instructions1"/>
      <sheetName val="Sock_Liner_Spec_1"/>
      <sheetName val="_(6,7)1"/>
      <sheetName val="Skiving_Instruction_(1)1"/>
      <sheetName val="Spliting_Instructions1"/>
      <sheetName val="Tapering_Instructions1"/>
      <sheetName val="Marking_Location_(1)1"/>
      <sheetName val="Marking_Location_(2)1"/>
      <sheetName val="Trim_&amp;_Edge-painting1"/>
      <sheetName val="Reinforcement_Placement1"/>
      <sheetName val="Folding_Location1"/>
      <sheetName val="Pre-Buffing_Specification1"/>
      <sheetName val="Stitching_Instructions_(4)1"/>
      <sheetName val="Upper_Laser_Process-_Spec_1"/>
      <sheetName val="Upper_Laser_Process-Spec_(2)_1"/>
      <sheetName val="Upper_Laser_Process-Spec__(3)1"/>
      <sheetName val="Sockliner__Process1"/>
      <sheetName val="Outsole_Color_Schedule1"/>
      <sheetName val="Sum"/>
      <sheetName val="IBASE"/>
      <sheetName val="Outsole_Preform_Specification1"/>
      <sheetName val="Outsole_Pressing_Process_1"/>
      <sheetName val="PU_CSS_CONFIRMATION1"/>
      <sheetName val="PU_CSS_Schedules1"/>
      <sheetName val="PU_Midsole_Spec_I1"/>
      <sheetName val="Stock_Fitting_Process_(8)1"/>
      <sheetName val="Stock_Fitting_Process_1"/>
      <sheetName val="Stock_Fitting_Process1"/>
      <sheetName val="Stock_Fitting_Process_(2)1"/>
      <sheetName val="Stock_Fitting_Process_(3)1"/>
      <sheetName val="Stockfit_BPFC1"/>
      <sheetName val="Assembling_Process1"/>
      <sheetName val="Assembling_Process_(2)1"/>
      <sheetName val="Assembly_BPFC1"/>
      <sheetName val="Production_Checklist1"/>
      <sheetName val="Sockliner_Specification1"/>
      <sheetName val="Upper_Measurement_Spec_1"/>
      <sheetName val="索引_(1)1"/>
      <sheetName val="沖孔規格說明_(2)1"/>
      <sheetName val="_削薄處指示說明1"/>
      <sheetName val="_削薄處指示說明_(2)1"/>
      <sheetName val="_削薄處指示說明_(3)1"/>
      <sheetName val="_削薄處指示說明_(4)1"/>
      <sheetName val="_削薄處指示說明_(5)1"/>
      <sheetName val="劃線印刷指示說明_(2)1"/>
      <sheetName val="劃線印刷指示說明_(3)1"/>
      <sheetName val="折邊指示說明_1"/>
      <sheetName val="針車流程_(2)1"/>
      <sheetName val="針車流程_(3)1"/>
      <sheetName val="針車流程_(4)1"/>
      <sheetName val="針車流程_(5)1"/>
      <sheetName val="針車流程_(6)1"/>
      <sheetName val="_鞋面印刷作業流程1"/>
      <sheetName val="_鞋面高週波作業流程_(2)1"/>
      <sheetName val="__鞋墊作業流程1"/>
      <sheetName val="Cover_313845-102((259_)_(2)1"/>
      <sheetName val="Index_(1)1"/>
      <sheetName val="Logo_Specification_(2)1"/>
      <sheetName val="Screen_Printing_(4)1"/>
      <sheetName val="Upper_HF_Welding_Process(5)1"/>
      <sheetName val="Index_(3)1"/>
      <sheetName val="Bottom_Component_Process_Spec_1"/>
      <sheetName val="Stock_Fitting_Process_(4)1"/>
      <sheetName val="Stock_Fitting_Process_(5)1"/>
      <sheetName val="Stockfit_BPFC_(2)1"/>
      <sheetName val="Assembling_Process_(3)1"/>
      <sheetName val="Assembly_BPFC_(2)1"/>
      <sheetName val="Sockliner_Sublimation_Process1"/>
      <sheetName val="Cutting_D)e_(1)1"/>
      <sheetName val="Cutting_D)e_(2)1"/>
      <sheetName val="Cutting_D)e_(3)1"/>
      <sheetName val="Stitching_Instructio_s_(3)1"/>
      <sheetName val="LOB Auto CS 90"/>
      <sheetName val="Raw Data Sheet"/>
      <sheetName val="LB (80)"/>
      <sheetName val="2"/>
      <sheetName val="2c"/>
      <sheetName val="5d"/>
      <sheetName val="6c"/>
      <sheetName val="Dispenser"/>
      <sheetName val="5a"/>
      <sheetName val="K2"/>
      <sheetName val="output per jam"/>
      <sheetName val="data Productivity"/>
      <sheetName val="MLT "/>
      <sheetName val="daily BEP"/>
      <sheetName val="178049A.XLS"/>
      <sheetName val="96-GS-C2"/>
      <sheetName val="LB CUTTING KUROBE"/>
      <sheetName val="Cutting(3) 3.17"/>
      <sheetName val="Cutting(4)"/>
      <sheetName val="Cutting(5)"/>
      <sheetName val="Cutting(5) 3.13"/>
      <sheetName val="Cutting(6)"/>
      <sheetName val="Cutting(6)3.17"/>
      <sheetName val="Molding Piece Schedule"/>
      <sheetName val="Perf Specification (1)"/>
      <sheetName val="Perf Specification (2)"/>
      <sheetName val="Skiving Instruction (3)"/>
      <sheetName val="Skiving Instruction (4)"/>
      <sheetName val="Skiving Instruction (5)"/>
      <sheetName val="Tapering Instructions 3.13"/>
      <sheetName val="Marking Location (3)"/>
      <sheetName val="Triming edge Instructions"/>
      <sheetName val="Reinforcement Placement (1)"/>
      <sheetName val="Reinforcement Placement (2)"/>
      <sheetName val="Reinforcement Placement (2)2.17"/>
      <sheetName val="Reinforcement Placement (3)"/>
      <sheetName val="Computer Stitching Schedule"/>
      <sheetName val="Stitching Overview Sketch"/>
      <sheetName val="Stitching Instructions (5)"/>
      <sheetName val="Stitching Instructions (6)"/>
      <sheetName val="Stitching Instructions (6) 3.17"/>
      <sheetName val="Stitching Instructions (7)"/>
      <sheetName val="Upper Injected Compon Pro. (1)"/>
      <sheetName val="Upper Injected Compon Pro. (2)"/>
      <sheetName val="Upper HF  Printing Welding(1)"/>
      <sheetName val="Upper HF Printing Welding(2)"/>
      <sheetName val="Upper HF Welding Process (3)"/>
      <sheetName val="Upper HF Welding Process (4)"/>
      <sheetName val="Upper HF Printing Welding (5)"/>
      <sheetName val="Upper HF Welding Process (6)"/>
      <sheetName val="CMP PHYLON CSS CONFIRMATION"/>
      <sheetName val="Phylon Midsole Spec."/>
      <sheetName val="BTRSS"/>
      <sheetName val="Stock Fitting Process(3)"/>
      <sheetName val="Stock Fitting Process (6)"/>
      <sheetName val="Stock Fitting Process (7)"/>
      <sheetName val="Upper Weight Control"/>
      <sheetName val="Blank Form"/>
      <sheetName val="KPI-Desember"/>
      <sheetName val="0103"/>
      <sheetName val="output_per_jam1"/>
      <sheetName val="data_Productivity1"/>
      <sheetName val="MLT_1"/>
      <sheetName val="daily_BEP1"/>
      <sheetName val="178049A_XLS1"/>
      <sheetName val="LB_CUTTING_KUROBE1"/>
      <sheetName val="Cutting(3)_3_171"/>
      <sheetName val="Cutting(5)_3_131"/>
      <sheetName val="Cutting(6)3_171"/>
      <sheetName val="Molding_Piece_Schedule1"/>
      <sheetName val="Perf_Specification_(1)1"/>
      <sheetName val="Perf_Specification_(2)1"/>
      <sheetName val="Skiving_Instruction_(3)1"/>
      <sheetName val="Skiving_Instruction_(4)1"/>
      <sheetName val="Skiving_Instruction_(5)1"/>
      <sheetName val="Tapering_Instructions_3_131"/>
      <sheetName val="Marking_Location_(3)1"/>
      <sheetName val="Triming_edge_Instructions1"/>
      <sheetName val="Reinforcement_Placement_(1)1"/>
      <sheetName val="Reinforcement_Placement_(2)1"/>
      <sheetName val="Reinforcement_Placement_(2)2_11"/>
      <sheetName val="Reinforcement_Placement_(3)1"/>
      <sheetName val="Computer_Stitching_Schedule1"/>
      <sheetName val="Stitching_Overview_Sketch1"/>
      <sheetName val="Stitching_Instructions_(5)1"/>
      <sheetName val="Stitching_Instructions_(6)1"/>
      <sheetName val="Stitching_Instructions_(6)_3_11"/>
      <sheetName val="Stitching_Instructions_(7)1"/>
      <sheetName val="Upper_Injected_Compon_Pro__(1)1"/>
      <sheetName val="Upper_Injected_Compon_Pro__(2)1"/>
      <sheetName val="Upper_HF__Printing_Welding(1)1"/>
      <sheetName val="Upper_HF_Printing_Welding(2)1"/>
      <sheetName val="Upper_HF_Welding_Process_(3)1"/>
      <sheetName val="Upper_HF_Welding_Process_(4)1"/>
      <sheetName val="Upper_HF_Printing_Welding_(5)1"/>
      <sheetName val="Upper_HF_Welding_Process_(6)1"/>
      <sheetName val="CMP_PHYLON_CSS_CONFIRMATION1"/>
      <sheetName val="Phylon_Midsole_Spec_1"/>
      <sheetName val="Stock_Fitting_Process(3)1"/>
      <sheetName val="Stock_Fitting_Process_(6)1"/>
      <sheetName val="Stock_Fitting_Process_(7)1"/>
      <sheetName val="Upper_Weight_Control1"/>
      <sheetName val="Blank_Form1"/>
      <sheetName val="Raw_Data_Sheet1"/>
      <sheetName val="output_per_jam"/>
      <sheetName val="data_Productivity"/>
      <sheetName val="MLT_"/>
      <sheetName val="daily_BEP"/>
      <sheetName val="178049A_XLS"/>
      <sheetName val="LB_CUTTING_KUROBE"/>
      <sheetName val="Cutting(3)_3_17"/>
      <sheetName val="Cutting(5)_3_13"/>
      <sheetName val="Cutting(6)3_17"/>
      <sheetName val="Molding_Piece_Schedule"/>
      <sheetName val="Perf_Specification_(1)"/>
      <sheetName val="Perf_Specification_(2)"/>
      <sheetName val="Skiving_Instruction_(3)"/>
      <sheetName val="Skiving_Instruction_(4)"/>
      <sheetName val="Skiving_Instruction_(5)"/>
      <sheetName val="Tapering_Instructions_3_13"/>
      <sheetName val="Marking_Location_(3)"/>
      <sheetName val="Triming_edge_Instructions"/>
      <sheetName val="Reinforcement_Placement_(1)"/>
      <sheetName val="Reinforcement_Placement_(2)"/>
      <sheetName val="Reinforcement_Placement_(2)2_17"/>
      <sheetName val="Reinforcement_Placement_(3)"/>
      <sheetName val="Computer_Stitching_Schedule"/>
      <sheetName val="Stitching_Overview_Sketch"/>
      <sheetName val="Stitching_Instructions_(5)"/>
      <sheetName val="Stitching_Instructions_(6)"/>
      <sheetName val="Stitching_Instructions_(6)_3_17"/>
      <sheetName val="Stitching_Instructions_(7)"/>
      <sheetName val="Upper_Injected_Compon_Pro__(1)"/>
      <sheetName val="Upper_Injected_Compon_Pro__(2)"/>
      <sheetName val="Upper_HF__Printing_Welding(1)"/>
      <sheetName val="Upper_HF_Printing_Welding(2)"/>
      <sheetName val="Upper_HF_Welding_Process_(3)"/>
      <sheetName val="Upper_HF_Welding_Process_(4)"/>
      <sheetName val="Upper_HF_Printing_Welding_(5)"/>
      <sheetName val="Upper_HF_Welding_Process_(6)"/>
      <sheetName val="CMP_PHYLON_CSS_CONFIRMATION"/>
      <sheetName val="Phylon_Midsole_Spec_"/>
      <sheetName val="Stock_Fitting_Process(3)"/>
      <sheetName val="Stock_Fitting_Process_(6)"/>
      <sheetName val="Stock_Fitting_Process_(7)"/>
      <sheetName val="Upper_Weight_Control"/>
      <sheetName val="Blank_Form"/>
      <sheetName val="Raw_Data_Sheet"/>
      <sheetName val="Cover_2"/>
      <sheetName val="Sheet1_2"/>
      <sheetName val="Index_2"/>
      <sheetName val="Spec1_2"/>
      <sheetName val="Spec__4"/>
      <sheetName val="Spec__5"/>
      <sheetName val="Spec_2"/>
      <sheetName val="Spec_62"/>
      <sheetName val="Spec7_2"/>
      <sheetName val="Spec8_2"/>
      <sheetName val="cutting___2"/>
      <sheetName val="Punch_Specification__2"/>
      <sheetName val="Logo_Specification2"/>
      <sheetName val="Strap_Specification2"/>
      <sheetName val="Part_&amp;_Group_Specification2"/>
      <sheetName val="Reinf_Placement2"/>
      <sheetName val="Skiving_instructions2"/>
      <sheetName val="Marking_locations2"/>
      <sheetName val="Folding_Locations2"/>
      <sheetName val="Stitching_Over_View2"/>
      <sheetName val="stitching_instructions_2"/>
      <sheetName val="Computer_stitched2"/>
      <sheetName val="Upper_Molded_Component_Spec__2"/>
      <sheetName val="Upper_Molded_Component_Proc__2"/>
      <sheetName val="Upper_Measurement_Spec2"/>
      <sheetName val="PFC_Revice2"/>
      <sheetName val="Cutting_Die_(1)2"/>
      <sheetName val="Cutting_Die_(2)2"/>
      <sheetName val="Cutting_Die_(3)2"/>
      <sheetName val="Perf_Specification2"/>
      <sheetName val="Marking_Location2"/>
      <sheetName val="Marking_Locations_(2)2"/>
      <sheetName val="Skiving_Instruction_(2)2"/>
      <sheetName val="Spliting_2"/>
      <sheetName val="Reinf__Placement_(1)2"/>
      <sheetName val="Reinf__Placement_(2)2"/>
      <sheetName val="Stitching_Instructions_(1)2"/>
      <sheetName val="Stitching_Instructions_(2)2"/>
      <sheetName val="Stitching_Instructions_(3)2"/>
      <sheetName val="Computer_Stitching_2"/>
      <sheetName val="Upper_Molded_Component_Spec_2"/>
      <sheetName val="PHYLON_CSS2"/>
      <sheetName val="PHYLON_CSS_SCHEDULES2"/>
      <sheetName val="PHYLON_CSS_CONFIRMATION2"/>
      <sheetName val="Outsole_Color_2"/>
      <sheetName val="Outsole_Preform_Specifications2"/>
      <sheetName val="Outsole_Pressing_Process2"/>
      <sheetName val="Outsole_Degreasing_Process_2"/>
      <sheetName val="Stock_Fiting_UV-Light_Proce_2"/>
      <sheetName val="Stock_Fiting_Process_2"/>
      <sheetName val="IY_06_072"/>
      <sheetName val="Assembly_UV-Light_Process__2"/>
      <sheetName val="Assembly_Process_6,7_2"/>
      <sheetName val="Assembly_Process_6,72"/>
      <sheetName val="IY08_09_102"/>
      <sheetName val="Assembly_Process_8,9,10_2"/>
      <sheetName val="Assembly_Process_8,9,10_(2_)2"/>
      <sheetName val="Back_Part_Moulding_(Soccer_TPR2"/>
      <sheetName val="Ecosole_Instructions_2"/>
      <sheetName val="Sockliner_Instructions2"/>
      <sheetName val="Sock_Liner_Spec_2"/>
      <sheetName val="_(6,7)2"/>
      <sheetName val="Skiving_Instruction_(1)2"/>
      <sheetName val="Spliting_Instructions2"/>
      <sheetName val="Tapering_Instructions2"/>
      <sheetName val="Marking_Location_(1)2"/>
      <sheetName val="Marking_Location_(2)2"/>
      <sheetName val="Trim_&amp;_Edge-painting2"/>
      <sheetName val="Reinforcement_Placement2"/>
      <sheetName val="Folding_Location2"/>
      <sheetName val="Pre-Buffing_Specification2"/>
      <sheetName val="Stitching_Instructions_(4)2"/>
      <sheetName val="Upper_Laser_Process-_Spec_2"/>
      <sheetName val="Upper_Laser_Process-Spec_(2)_2"/>
      <sheetName val="Upper_Laser_Process-Spec__(3)2"/>
      <sheetName val="Sockliner__Process2"/>
      <sheetName val="Outsole_Color_Schedule2"/>
      <sheetName val="Outsole_Preform_Specification2"/>
      <sheetName val="Outsole_Pressing_Process_2"/>
      <sheetName val="PU_CSS_CONFIRMATION2"/>
      <sheetName val="PU_CSS_Schedules2"/>
      <sheetName val="PU_Midsole_Spec_I2"/>
      <sheetName val="Stock_Fitting_Process_(8)2"/>
      <sheetName val="Stock_Fitting_Process_2"/>
      <sheetName val="Stock_Fitting_Process2"/>
      <sheetName val="Stock_Fitting_Process_(2)2"/>
      <sheetName val="Stock_Fitting_Process_(3)2"/>
      <sheetName val="Stockfit_BPFC2"/>
      <sheetName val="Assembling_Process2"/>
      <sheetName val="Assembling_Process_(2)2"/>
      <sheetName val="Assembly_BPFC2"/>
      <sheetName val="Production_Checklist2"/>
      <sheetName val="Sockliner_Specification2"/>
      <sheetName val="Upper_Measurement_Spec_2"/>
      <sheetName val="索引_(1)2"/>
      <sheetName val="沖孔規格說明_(2)2"/>
      <sheetName val="_削薄處指示說明2"/>
      <sheetName val="_削薄處指示說明_(2)2"/>
      <sheetName val="_削薄處指示說明_(3)2"/>
      <sheetName val="_削薄處指示說明_(4)2"/>
      <sheetName val="_削薄處指示說明_(5)2"/>
      <sheetName val="劃線印刷指示說明_(2)2"/>
      <sheetName val="劃線印刷指示說明_(3)2"/>
      <sheetName val="折邊指示說明_2"/>
      <sheetName val="針車流程_(2)2"/>
      <sheetName val="針車流程_(3)2"/>
      <sheetName val="針車流程_(4)2"/>
      <sheetName val="針車流程_(5)2"/>
      <sheetName val="針車流程_(6)2"/>
      <sheetName val="_鞋面印刷作業流程2"/>
      <sheetName val="_鞋面高週波作業流程_(2)2"/>
      <sheetName val="__鞋墊作業流程2"/>
      <sheetName val="Cover_313845-102((259_)_(2)2"/>
      <sheetName val="Index_(1)2"/>
      <sheetName val="Logo_Specification_(2)2"/>
      <sheetName val="Screen_Printing_(4)2"/>
      <sheetName val="Upper_HF_Welding_Process(5)2"/>
      <sheetName val="Index_(3)2"/>
      <sheetName val="Bottom_Component_Process_Spec_2"/>
      <sheetName val="Stock_Fitting_Process_(4)2"/>
      <sheetName val="Stock_Fitting_Process_(5)2"/>
      <sheetName val="Stockfit_BPFC_(2)2"/>
      <sheetName val="Assembling_Process_(3)2"/>
      <sheetName val="Assembly_BPFC_(2)2"/>
      <sheetName val="Sockliner_Sublimation_Process2"/>
      <sheetName val="Cutting_D)e_(1)2"/>
      <sheetName val="Cutting_D)e_(2)2"/>
      <sheetName val="Cutting_D)e_(3)2"/>
      <sheetName val="Stitching_Instructio_s_(3)2"/>
      <sheetName val="output_per_jam2"/>
      <sheetName val="data_Productivity2"/>
      <sheetName val="MLT_2"/>
      <sheetName val="daily_BEP2"/>
      <sheetName val="178049A_XLS2"/>
      <sheetName val="LB_CUTTING_KUROBE2"/>
      <sheetName val="Cutting(3)_3_172"/>
      <sheetName val="Cutting(5)_3_132"/>
      <sheetName val="Cutting(6)3_172"/>
      <sheetName val="Molding_Piece_Schedule2"/>
      <sheetName val="Perf_Specification_(1)2"/>
      <sheetName val="Perf_Specification_(2)2"/>
      <sheetName val="Skiving_Instruction_(3)2"/>
      <sheetName val="Skiving_Instruction_(4)2"/>
      <sheetName val="Skiving_Instruction_(5)2"/>
      <sheetName val="Tapering_Instructions_3_132"/>
      <sheetName val="Marking_Location_(3)2"/>
      <sheetName val="Triming_edge_Instructions2"/>
      <sheetName val="Reinforcement_Placement_(1)2"/>
      <sheetName val="Reinforcement_Placement_(2)2"/>
      <sheetName val="Reinforcement_Placement_(2)2_12"/>
      <sheetName val="Reinforcement_Placement_(3)2"/>
      <sheetName val="Computer_Stitching_Schedule2"/>
      <sheetName val="Stitching_Overview_Sketch2"/>
      <sheetName val="Stitching_Instructions_(5)2"/>
      <sheetName val="Stitching_Instructions_(6)2"/>
      <sheetName val="Stitching_Instructions_(6)_3_12"/>
      <sheetName val="Stitching_Instructions_(7)2"/>
      <sheetName val="Upper_Injected_Compon_Pro__(1)2"/>
      <sheetName val="Upper_Injected_Compon_Pro__(2)2"/>
      <sheetName val="Upper_HF__Printing_Welding(1)2"/>
      <sheetName val="Upper_HF_Printing_Welding(2)2"/>
      <sheetName val="Upper_HF_Welding_Process_(3)2"/>
      <sheetName val="Upper_HF_Welding_Process_(4)2"/>
      <sheetName val="Upper_HF_Printing_Welding_(5)2"/>
      <sheetName val="Upper_HF_Welding_Process_(6)2"/>
      <sheetName val="CMP_PHYLON_CSS_CONFIRMATION2"/>
      <sheetName val="Phylon_Midsole_Spec_2"/>
      <sheetName val="Stock_Fitting_Process(3)2"/>
      <sheetName val="Stock_Fitting_Process_(6)2"/>
      <sheetName val="Stock_Fitting_Process_(7)2"/>
      <sheetName val="Upper_Weight_Control2"/>
      <sheetName val="Blank_Form2"/>
      <sheetName val="Raw_Data_Sheet2"/>
      <sheetName val="Cover_3"/>
      <sheetName val="Sheet1_3"/>
      <sheetName val="Index_3"/>
      <sheetName val="Spec1_3"/>
      <sheetName val="Spec__6"/>
      <sheetName val="Spec__7"/>
      <sheetName val="Spec_3"/>
      <sheetName val="Spec_63"/>
      <sheetName val="Spec7_3"/>
      <sheetName val="Spec8_3"/>
      <sheetName val="cutting___3"/>
      <sheetName val="Punch_Specification__3"/>
      <sheetName val="Logo_Specification3"/>
      <sheetName val="Strap_Specification3"/>
      <sheetName val="Part_&amp;_Group_Specification3"/>
      <sheetName val="Reinf_Placement3"/>
      <sheetName val="Skiving_instructions3"/>
      <sheetName val="Marking_locations3"/>
      <sheetName val="Folding_Locations3"/>
      <sheetName val="Stitching_Over_View3"/>
      <sheetName val="stitching_instructions_3"/>
      <sheetName val="Computer_stitched3"/>
      <sheetName val="Upper_Molded_Component_Spec__3"/>
      <sheetName val="Upper_Molded_Component_Proc__3"/>
      <sheetName val="Upper_Measurement_Spec3"/>
      <sheetName val="PFC_Revice3"/>
      <sheetName val="Cutting_Die_(1)3"/>
      <sheetName val="Cutting_Die_(2)3"/>
      <sheetName val="Cutting_Die_(3)3"/>
      <sheetName val="Perf_Specification3"/>
      <sheetName val="Marking_Location3"/>
      <sheetName val="Marking_Locations_(2)3"/>
      <sheetName val="Skiving_Instruction_(2)3"/>
      <sheetName val="Spliting_3"/>
      <sheetName val="Reinf__Placement_(1)3"/>
      <sheetName val="Reinf__Placement_(2)3"/>
      <sheetName val="Stitching_Instructions_(1)3"/>
      <sheetName val="Stitching_Instructions_(2)3"/>
      <sheetName val="Stitching_Instructions_(3)3"/>
      <sheetName val="Computer_Stitching_3"/>
      <sheetName val="Upper_Molded_Component_Spec_3"/>
      <sheetName val="PHYLON_CSS3"/>
      <sheetName val="PHYLON_CSS_SCHEDULES3"/>
      <sheetName val="PHYLON_CSS_CONFIRMATION3"/>
      <sheetName val="Outsole_Color_3"/>
      <sheetName val="Outsole_Preform_Specifications3"/>
      <sheetName val="Outsole_Pressing_Process3"/>
      <sheetName val="Outsole_Degreasing_Process_3"/>
      <sheetName val="Stock_Fiting_UV-Light_Proce_3"/>
      <sheetName val="Stock_Fiting_Process_3"/>
      <sheetName val="IY_06_073"/>
      <sheetName val="Assembly_UV-Light_Process__3"/>
      <sheetName val="Assembly_Process_6,7_3"/>
      <sheetName val="Assembly_Process_6,73"/>
      <sheetName val="IY08_09_103"/>
      <sheetName val="Assembly_Process_8,9,10_3"/>
      <sheetName val="Assembly_Process_8,9,10_(2_)3"/>
      <sheetName val="Back_Part_Moulding_(Soccer_TPR3"/>
      <sheetName val="Ecosole_Instructions_3"/>
      <sheetName val="Sockliner_Instructions3"/>
      <sheetName val="Sock_Liner_Spec_3"/>
      <sheetName val="_(6,7)3"/>
      <sheetName val="Skiving_Instruction_(1)3"/>
      <sheetName val="Spliting_Instructions3"/>
      <sheetName val="Tapering_Instructions3"/>
      <sheetName val="Marking_Location_(1)3"/>
      <sheetName val="Marking_Location_(2)3"/>
      <sheetName val="Trim_&amp;_Edge-painting3"/>
      <sheetName val="Reinforcement_Placement3"/>
      <sheetName val="Folding_Location3"/>
      <sheetName val="Pre-Buffing_Specification3"/>
      <sheetName val="Stitching_Instructions_(4)3"/>
      <sheetName val="Upper_Laser_Process-_Spec_3"/>
      <sheetName val="Upper_Laser_Process-Spec_(2)_3"/>
      <sheetName val="Upper_Laser_Process-Spec__(3)3"/>
      <sheetName val="Sockliner__Process3"/>
      <sheetName val="Outsole_Color_Schedule3"/>
      <sheetName val="Outsole_Preform_Specification3"/>
      <sheetName val="Outsole_Pressing_Process_3"/>
      <sheetName val="PU_CSS_CONFIRMATION3"/>
      <sheetName val="PU_CSS_Schedules3"/>
      <sheetName val="PU_Midsole_Spec_I3"/>
      <sheetName val="Stock_Fitting_Process_(8)3"/>
      <sheetName val="Stock_Fitting_Process_3"/>
      <sheetName val="Stock_Fitting_Process3"/>
      <sheetName val="Stock_Fitting_Process_(2)3"/>
      <sheetName val="Stock_Fitting_Process_(3)3"/>
      <sheetName val="Stockfit_BPFC3"/>
      <sheetName val="Assembling_Process3"/>
      <sheetName val="Assembling_Process_(2)3"/>
      <sheetName val="Assembly_BPFC3"/>
      <sheetName val="Production_Checklist3"/>
      <sheetName val="Sockliner_Specification3"/>
      <sheetName val="Upper_Measurement_Spec_3"/>
      <sheetName val="索引_(1)3"/>
      <sheetName val="沖孔規格說明_(2)3"/>
      <sheetName val="_削薄處指示說明3"/>
      <sheetName val="_削薄處指示說明_(2)3"/>
      <sheetName val="_削薄處指示說明_(3)3"/>
      <sheetName val="_削薄處指示說明_(4)3"/>
      <sheetName val="_削薄處指示說明_(5)3"/>
      <sheetName val="劃線印刷指示說明_(2)3"/>
      <sheetName val="劃線印刷指示說明_(3)3"/>
      <sheetName val="折邊指示說明_3"/>
      <sheetName val="針車流程_(2)3"/>
      <sheetName val="針車流程_(3)3"/>
      <sheetName val="針車流程_(4)3"/>
      <sheetName val="針車流程_(5)3"/>
      <sheetName val="針車流程_(6)3"/>
      <sheetName val="_鞋面印刷作業流程3"/>
      <sheetName val="_鞋面高週波作業流程_(2)3"/>
      <sheetName val="__鞋墊作業流程3"/>
      <sheetName val="Cover_313845-102((259_)_(2)3"/>
      <sheetName val="Index_(1)3"/>
      <sheetName val="Logo_Specification_(2)3"/>
      <sheetName val="Screen_Printing_(4)3"/>
      <sheetName val="Upper_HF_Welding_Process(5)3"/>
      <sheetName val="Index_(3)3"/>
      <sheetName val="Bottom_Component_Process_Spec_3"/>
      <sheetName val="Stock_Fitting_Process_(4)3"/>
      <sheetName val="Stock_Fitting_Process_(5)3"/>
      <sheetName val="Stockfit_BPFC_(2)3"/>
      <sheetName val="Assembling_Process_(3)3"/>
      <sheetName val="Assembly_BPFC_(2)3"/>
      <sheetName val="Sockliner_Sublimation_Process3"/>
      <sheetName val="Cutting_D)e_(1)3"/>
      <sheetName val="Cutting_D)e_(2)3"/>
      <sheetName val="Cutting_D)e_(3)3"/>
      <sheetName val="Stitching_Instructio_s_(3)3"/>
      <sheetName val="output_per_jam3"/>
      <sheetName val="data_Productivity3"/>
      <sheetName val="MLT_3"/>
      <sheetName val="daily_BEP3"/>
      <sheetName val="178049A_XLS3"/>
      <sheetName val="LB_CUTTING_KUROBE3"/>
      <sheetName val="Cutting(3)_3_173"/>
      <sheetName val="Cutting(5)_3_133"/>
      <sheetName val="Cutting(6)3_173"/>
      <sheetName val="Molding_Piece_Schedule3"/>
      <sheetName val="Perf_Specification_(1)3"/>
      <sheetName val="Perf_Specification_(2)3"/>
      <sheetName val="Skiving_Instruction_(3)3"/>
      <sheetName val="Skiving_Instruction_(4)3"/>
      <sheetName val="Skiving_Instruction_(5)3"/>
      <sheetName val="Tapering_Instructions_3_133"/>
      <sheetName val="Marking_Location_(3)3"/>
      <sheetName val="Triming_edge_Instructions3"/>
      <sheetName val="Reinforcement_Placement_(1)3"/>
      <sheetName val="Reinforcement_Placement_(2)3"/>
      <sheetName val="Reinforcement_Placement_(2)2_13"/>
      <sheetName val="Reinforcement_Placement_(3)3"/>
      <sheetName val="Computer_Stitching_Schedule3"/>
      <sheetName val="Stitching_Overview_Sketch3"/>
      <sheetName val="Stitching_Instructions_(5)3"/>
      <sheetName val="Stitching_Instructions_(6)3"/>
      <sheetName val="Stitching_Instructions_(6)_3_13"/>
      <sheetName val="Stitching_Instructions_(7)3"/>
      <sheetName val="Upper_Injected_Compon_Pro__(1)3"/>
      <sheetName val="Upper_Injected_Compon_Pro__(2)3"/>
      <sheetName val="Upper_HF__Printing_Welding(1)3"/>
      <sheetName val="Upper_HF_Printing_Welding(2)3"/>
      <sheetName val="Upper_HF_Welding_Process_(3)3"/>
      <sheetName val="Upper_HF_Welding_Process_(4)3"/>
      <sheetName val="Upper_HF_Printing_Welding_(5)3"/>
      <sheetName val="Upper_HF_Welding_Process_(6)3"/>
      <sheetName val="CMP_PHYLON_CSS_CONFIRMATION3"/>
      <sheetName val="Phylon_Midsole_Spec_3"/>
      <sheetName val="Stock_Fitting_Process(3)3"/>
      <sheetName val="Stock_Fitting_Process_(6)3"/>
      <sheetName val="Stock_Fitting_Process_(7)3"/>
      <sheetName val="Upper_Weight_Control3"/>
      <sheetName val="Blank_Form3"/>
      <sheetName val="Raw_Data_Sheet3"/>
      <sheetName val="Cover_4"/>
      <sheetName val="Sheet1_4"/>
      <sheetName val="Index_4"/>
      <sheetName val="Spec1_4"/>
      <sheetName val="Spec__8"/>
      <sheetName val="Spec__9"/>
      <sheetName val="Spec_4"/>
      <sheetName val="Spec_64"/>
      <sheetName val="Spec7_4"/>
      <sheetName val="Spec8_4"/>
      <sheetName val="cutting___4"/>
      <sheetName val="Punch_Specification__4"/>
      <sheetName val="Logo_Specification4"/>
      <sheetName val="Strap_Specification4"/>
      <sheetName val="Part_&amp;_Group_Specification4"/>
      <sheetName val="Reinf_Placement4"/>
      <sheetName val="Skiving_instructions4"/>
      <sheetName val="Marking_locations4"/>
      <sheetName val="Folding_Locations4"/>
      <sheetName val="Stitching_Over_View4"/>
      <sheetName val="stitching_instructions_4"/>
      <sheetName val="Computer_stitched4"/>
      <sheetName val="Upper_Molded_Component_Spec__4"/>
      <sheetName val="Upper_Molded_Component_Proc__4"/>
      <sheetName val="Upper_Measurement_Spec4"/>
      <sheetName val="PFC_Revice4"/>
      <sheetName val="Cutting_Die_(1)4"/>
      <sheetName val="Cutting_Die_(2)4"/>
      <sheetName val="Cutting_Die_(3)4"/>
      <sheetName val="Perf_Specification4"/>
      <sheetName val="Marking_Location4"/>
      <sheetName val="Marking_Locations_(2)4"/>
      <sheetName val="Skiving_Instruction_(2)4"/>
      <sheetName val="Spliting_4"/>
      <sheetName val="Reinf__Placement_(1)4"/>
      <sheetName val="Reinf__Placement_(2)4"/>
      <sheetName val="Stitching_Instructions_(1)4"/>
      <sheetName val="Stitching_Instructions_(2)4"/>
      <sheetName val="Stitching_Instructions_(3)4"/>
      <sheetName val="Computer_Stitching_4"/>
      <sheetName val="Upper_Molded_Component_Spec_4"/>
      <sheetName val="PHYLON_CSS4"/>
      <sheetName val="PHYLON_CSS_SCHEDULES4"/>
      <sheetName val="PHYLON_CSS_CONFIRMATION4"/>
      <sheetName val="Outsole_Color_4"/>
      <sheetName val="Outsole_Preform_Specifications4"/>
      <sheetName val="Outsole_Pressing_Process4"/>
      <sheetName val="Outsole_Degreasing_Process_4"/>
      <sheetName val="Stock_Fiting_UV-Light_Proce_4"/>
      <sheetName val="Stock_Fiting_Process_4"/>
      <sheetName val="IY_06_074"/>
      <sheetName val="Assembly_UV-Light_Process__4"/>
      <sheetName val="Assembly_Process_6,7_4"/>
      <sheetName val="Assembly_Process_6,74"/>
      <sheetName val="IY08_09_104"/>
      <sheetName val="Assembly_Process_8,9,10_4"/>
      <sheetName val="Assembly_Process_8,9,10_(2_)4"/>
      <sheetName val="Back_Part_Moulding_(Soccer_TPR4"/>
      <sheetName val="Ecosole_Instructions_4"/>
      <sheetName val="Sockliner_Instructions4"/>
      <sheetName val="Sock_Liner_Spec_4"/>
      <sheetName val="_(6,7)4"/>
      <sheetName val="Skiving_Instruction_(1)4"/>
      <sheetName val="Spliting_Instructions4"/>
      <sheetName val="Tapering_Instructions4"/>
      <sheetName val="Marking_Location_(1)4"/>
      <sheetName val="Marking_Location_(2)4"/>
      <sheetName val="Trim_&amp;_Edge-painting4"/>
      <sheetName val="Reinforcement_Placement4"/>
      <sheetName val="Folding_Location4"/>
      <sheetName val="Pre-Buffing_Specification4"/>
      <sheetName val="Stitching_Instructions_(4)4"/>
      <sheetName val="Upper_Laser_Process-_Spec_4"/>
      <sheetName val="Upper_Laser_Process-Spec_(2)_4"/>
      <sheetName val="Upper_Laser_Process-Spec__(3)4"/>
      <sheetName val="Sockliner__Process4"/>
      <sheetName val="Outsole_Color_Schedule4"/>
      <sheetName val="Outsole_Preform_Specification4"/>
      <sheetName val="Outsole_Pressing_Process_4"/>
      <sheetName val="PU_CSS_CONFIRMATION4"/>
      <sheetName val="PU_CSS_Schedules4"/>
      <sheetName val="PU_Midsole_Spec_I4"/>
      <sheetName val="Stock_Fitting_Process_(8)4"/>
      <sheetName val="Stock_Fitting_Process_4"/>
      <sheetName val="Stock_Fitting_Process4"/>
      <sheetName val="Stock_Fitting_Process_(2)4"/>
      <sheetName val="Stock_Fitting_Process_(3)4"/>
      <sheetName val="Stockfit_BPFC4"/>
      <sheetName val="Assembling_Process4"/>
      <sheetName val="Assembling_Process_(2)4"/>
      <sheetName val="Assembly_BPFC4"/>
      <sheetName val="Production_Checklist4"/>
      <sheetName val="Sockliner_Specification4"/>
      <sheetName val="Upper_Measurement_Spec_4"/>
      <sheetName val="索引_(1)4"/>
      <sheetName val="沖孔規格說明_(2)4"/>
      <sheetName val="_削薄處指示說明4"/>
      <sheetName val="_削薄處指示說明_(2)4"/>
      <sheetName val="_削薄處指示說明_(3)4"/>
      <sheetName val="_削薄處指示說明_(4)4"/>
      <sheetName val="_削薄處指示說明_(5)4"/>
      <sheetName val="劃線印刷指示說明_(2)4"/>
      <sheetName val="劃線印刷指示說明_(3)4"/>
      <sheetName val="折邊指示說明_4"/>
      <sheetName val="針車流程_(2)4"/>
      <sheetName val="針車流程_(3)4"/>
      <sheetName val="針車流程_(4)4"/>
      <sheetName val="針車流程_(5)4"/>
      <sheetName val="針車流程_(6)4"/>
      <sheetName val="_鞋面印刷作業流程4"/>
      <sheetName val="_鞋面高週波作業流程_(2)4"/>
      <sheetName val="__鞋墊作業流程4"/>
      <sheetName val="Cover_313845-102((259_)_(2)4"/>
      <sheetName val="Index_(1)4"/>
      <sheetName val="Logo_Specification_(2)4"/>
      <sheetName val="Screen_Printing_(4)4"/>
      <sheetName val="Upper_HF_Welding_Process(5)4"/>
      <sheetName val="Index_(3)4"/>
      <sheetName val="Bottom_Component_Process_Spec_4"/>
      <sheetName val="Stock_Fitting_Process_(4)4"/>
      <sheetName val="Stock_Fitting_Process_(5)4"/>
      <sheetName val="Stockfit_BPFC_(2)4"/>
      <sheetName val="Assembling_Process_(3)4"/>
      <sheetName val="Assembly_BPFC_(2)4"/>
      <sheetName val="Sockliner_Sublimation_Process4"/>
      <sheetName val="Cutting_D)e_(1)4"/>
      <sheetName val="Cutting_D)e_(2)4"/>
      <sheetName val="Cutting_D)e_(3)4"/>
      <sheetName val="Stitching_Instructio_s_(3)4"/>
      <sheetName val="output_per_jam4"/>
      <sheetName val="data_Productivity4"/>
      <sheetName val="MLT_4"/>
      <sheetName val="daily_BEP4"/>
      <sheetName val="178049A_XLS4"/>
      <sheetName val="LB_CUTTING_KUROBE4"/>
      <sheetName val="Cutting(3)_3_174"/>
      <sheetName val="Cutting(5)_3_134"/>
      <sheetName val="Cutting(6)3_174"/>
      <sheetName val="Molding_Piece_Schedule4"/>
      <sheetName val="Perf_Specification_(1)4"/>
      <sheetName val="Perf_Specification_(2)4"/>
      <sheetName val="Skiving_Instruction_(3)4"/>
      <sheetName val="Skiving_Instruction_(4)4"/>
      <sheetName val="Skiving_Instruction_(5)4"/>
      <sheetName val="Tapering_Instructions_3_134"/>
      <sheetName val="Marking_Location_(3)4"/>
      <sheetName val="Triming_edge_Instructions4"/>
      <sheetName val="Reinforcement_Placement_(1)4"/>
      <sheetName val="Reinforcement_Placement_(2)4"/>
      <sheetName val="Reinforcement_Placement_(2)2_14"/>
      <sheetName val="Reinforcement_Placement_(3)4"/>
      <sheetName val="Computer_Stitching_Schedule4"/>
      <sheetName val="Stitching_Overview_Sketch4"/>
      <sheetName val="Stitching_Instructions_(5)4"/>
      <sheetName val="Stitching_Instructions_(6)4"/>
      <sheetName val="Stitching_Instructions_(6)_3_14"/>
      <sheetName val="Stitching_Instructions_(7)4"/>
      <sheetName val="Upper_Injected_Compon_Pro__(1)4"/>
      <sheetName val="Upper_Injected_Compon_Pro__(2)4"/>
      <sheetName val="Upper_HF__Printing_Welding(1)4"/>
      <sheetName val="Upper_HF_Printing_Welding(2)4"/>
      <sheetName val="Upper_HF_Welding_Process_(3)4"/>
      <sheetName val="Upper_HF_Welding_Process_(4)4"/>
      <sheetName val="Upper_HF_Printing_Welding_(5)4"/>
      <sheetName val="Upper_HF_Welding_Process_(6)4"/>
      <sheetName val="CMP_PHYLON_CSS_CONFIRMATION4"/>
      <sheetName val="Phylon_Midsole_Spec_4"/>
      <sheetName val="Stock_Fitting_Process(3)4"/>
      <sheetName val="Stock_Fitting_Process_(6)4"/>
      <sheetName val="Stock_Fitting_Process_(7)4"/>
      <sheetName val="Upper_Weight_Control4"/>
      <sheetName val="Blank_Form4"/>
      <sheetName val="Raw_Data_Sheet4"/>
      <sheetName val="Cover_5"/>
      <sheetName val="Sheet1_5"/>
      <sheetName val="Index_5"/>
      <sheetName val="Spec1_5"/>
      <sheetName val="Spec__10"/>
      <sheetName val="Spec__11"/>
      <sheetName val="Spec_5"/>
      <sheetName val="Spec_65"/>
      <sheetName val="Spec7_5"/>
      <sheetName val="Spec8_5"/>
      <sheetName val="cutting___5"/>
      <sheetName val="Punch_Specification__5"/>
      <sheetName val="Logo_Specification5"/>
      <sheetName val="Strap_Specification5"/>
      <sheetName val="Part_&amp;_Group_Specification5"/>
      <sheetName val="Reinf_Placement5"/>
      <sheetName val="Skiving_instructions5"/>
      <sheetName val="Marking_locations5"/>
      <sheetName val="Folding_Locations5"/>
      <sheetName val="Stitching_Over_View5"/>
      <sheetName val="stitching_instructions_5"/>
      <sheetName val="Computer_stitched5"/>
      <sheetName val="Upper_Molded_Component_Spec__5"/>
      <sheetName val="Upper_Molded_Component_Proc__5"/>
      <sheetName val="Upper_Measurement_Spec5"/>
      <sheetName val="PFC_Revice5"/>
      <sheetName val="Cutting_Die_(1)5"/>
      <sheetName val="Cutting_Die_(2)5"/>
      <sheetName val="Cutting_Die_(3)5"/>
      <sheetName val="Perf_Specification5"/>
      <sheetName val="Marking_Location5"/>
      <sheetName val="Marking_Locations_(2)5"/>
      <sheetName val="Skiving_Instruction_(2)5"/>
      <sheetName val="Spliting_5"/>
      <sheetName val="Reinf__Placement_(1)5"/>
      <sheetName val="Reinf__Placement_(2)5"/>
      <sheetName val="Stitching_Instructions_(1)5"/>
      <sheetName val="Stitching_Instructions_(2)5"/>
      <sheetName val="Stitching_Instructions_(3)5"/>
      <sheetName val="Computer_Stitching_5"/>
      <sheetName val="Upper_Molded_Component_Spec_5"/>
      <sheetName val="PHYLON_CSS5"/>
      <sheetName val="PHYLON_CSS_SCHEDULES5"/>
      <sheetName val="PHYLON_CSS_CONFIRMATION5"/>
      <sheetName val="Outsole_Color_5"/>
      <sheetName val="Outsole_Preform_Specifications5"/>
      <sheetName val="Outsole_Pressing_Process5"/>
      <sheetName val="Outsole_Degreasing_Process_5"/>
      <sheetName val="Stock_Fiting_UV-Light_Proce_5"/>
      <sheetName val="Stock_Fiting_Process_5"/>
      <sheetName val="IY_06_075"/>
      <sheetName val="Assembly_UV-Light_Process__5"/>
      <sheetName val="Assembly_Process_6,7_5"/>
      <sheetName val="Assembly_Process_6,75"/>
      <sheetName val="IY08_09_105"/>
      <sheetName val="Assembly_Process_8,9,10_5"/>
      <sheetName val="Assembly_Process_8,9,10_(2_)5"/>
      <sheetName val="Back_Part_Moulding_(Soccer_TPR5"/>
      <sheetName val="Ecosole_Instructions_5"/>
      <sheetName val="Sockliner_Instructions5"/>
      <sheetName val="Sock_Liner_Spec_5"/>
      <sheetName val="_(6,7)5"/>
      <sheetName val="Skiving_Instruction_(1)5"/>
      <sheetName val="Spliting_Instructions5"/>
      <sheetName val="Tapering_Instructions5"/>
      <sheetName val="Marking_Location_(1)5"/>
      <sheetName val="Marking_Location_(2)5"/>
      <sheetName val="Trim_&amp;_Edge-painting5"/>
      <sheetName val="Reinforcement_Placement5"/>
      <sheetName val="Folding_Location5"/>
      <sheetName val="Pre-Buffing_Specification5"/>
      <sheetName val="Stitching_Instructions_(4)5"/>
      <sheetName val="Upper_Laser_Process-_Spec_5"/>
      <sheetName val="Upper_Laser_Process-Spec_(2)_5"/>
      <sheetName val="Upper_Laser_Process-Spec__(3)5"/>
      <sheetName val="Sockliner__Process5"/>
      <sheetName val="Outsole_Color_Schedule5"/>
      <sheetName val="Outsole_Preform_Specification5"/>
      <sheetName val="Outsole_Pressing_Process_5"/>
      <sheetName val="PU_CSS_CONFIRMATION5"/>
      <sheetName val="PU_CSS_Schedules5"/>
      <sheetName val="PU_Midsole_Spec_I5"/>
      <sheetName val="Stock_Fitting_Process_(8)5"/>
      <sheetName val="Stock_Fitting_Process_5"/>
      <sheetName val="Stock_Fitting_Process5"/>
      <sheetName val="Stock_Fitting_Process_(2)5"/>
      <sheetName val="Stock_Fitting_Process_(3)5"/>
      <sheetName val="Stockfit_BPFC5"/>
      <sheetName val="Assembling_Process5"/>
      <sheetName val="Assembling_Process_(2)5"/>
      <sheetName val="Assembly_BPFC5"/>
      <sheetName val="Production_Checklist5"/>
      <sheetName val="Sockliner_Specification5"/>
      <sheetName val="Upper_Measurement_Spec_5"/>
      <sheetName val="索引_(1)5"/>
      <sheetName val="沖孔規格說明_(2)5"/>
      <sheetName val="_削薄處指示說明5"/>
      <sheetName val="_削薄處指示說明_(2)5"/>
      <sheetName val="_削薄處指示說明_(3)5"/>
      <sheetName val="_削薄處指示說明_(4)5"/>
      <sheetName val="_削薄處指示說明_(5)5"/>
      <sheetName val="劃線印刷指示說明_(2)5"/>
      <sheetName val="劃線印刷指示說明_(3)5"/>
      <sheetName val="折邊指示說明_5"/>
      <sheetName val="針車流程_(2)5"/>
      <sheetName val="針車流程_(3)5"/>
      <sheetName val="針車流程_(4)5"/>
      <sheetName val="針車流程_(5)5"/>
      <sheetName val="針車流程_(6)5"/>
      <sheetName val="_鞋面印刷作業流程5"/>
      <sheetName val="_鞋面高週波作業流程_(2)5"/>
      <sheetName val="__鞋墊作業流程5"/>
      <sheetName val="Cover_313845-102((259_)_(2)5"/>
      <sheetName val="Index_(1)5"/>
      <sheetName val="Logo_Specification_(2)5"/>
      <sheetName val="Screen_Printing_(4)5"/>
      <sheetName val="Upper_HF_Welding_Process(5)5"/>
      <sheetName val="Index_(3)5"/>
      <sheetName val="Bottom_Component_Process_Spec_5"/>
      <sheetName val="Stock_Fitting_Process_(4)5"/>
      <sheetName val="Stock_Fitting_Process_(5)5"/>
      <sheetName val="Stockfit_BPFC_(2)5"/>
      <sheetName val="Assembling_Process_(3)5"/>
      <sheetName val="Assembly_BPFC_(2)5"/>
      <sheetName val="Sockliner_Sublimation_Process5"/>
      <sheetName val="Cutting_D)e_(1)5"/>
      <sheetName val="Cutting_D)e_(2)5"/>
      <sheetName val="Cutting_D)e_(3)5"/>
      <sheetName val="Stitching_Instructio_s_(3)5"/>
      <sheetName val="output_per_jam5"/>
      <sheetName val="data_Productivity5"/>
      <sheetName val="MLT_5"/>
      <sheetName val="daily_BEP5"/>
      <sheetName val="178049A_XLS5"/>
      <sheetName val="LB_CUTTING_KUROBE5"/>
      <sheetName val="Cutting(3)_3_175"/>
      <sheetName val="Cutting(5)_3_135"/>
      <sheetName val="Cutting(6)3_175"/>
      <sheetName val="Molding_Piece_Schedule5"/>
      <sheetName val="Perf_Specification_(1)5"/>
      <sheetName val="Perf_Specification_(2)5"/>
      <sheetName val="Skiving_Instruction_(3)5"/>
      <sheetName val="Skiving_Instruction_(4)5"/>
      <sheetName val="Skiving_Instruction_(5)5"/>
      <sheetName val="Tapering_Instructions_3_135"/>
      <sheetName val="Marking_Location_(3)5"/>
      <sheetName val="Triming_edge_Instructions5"/>
      <sheetName val="Reinforcement_Placement_(1)5"/>
      <sheetName val="Reinforcement_Placement_(2)5"/>
      <sheetName val="Reinforcement_Placement_(2)2_15"/>
      <sheetName val="Reinforcement_Placement_(3)5"/>
      <sheetName val="Computer_Stitching_Schedule5"/>
      <sheetName val="Stitching_Overview_Sketch5"/>
      <sheetName val="Stitching_Instructions_(5)5"/>
      <sheetName val="Stitching_Instructions_(6)5"/>
      <sheetName val="Stitching_Instructions_(6)_3_15"/>
      <sheetName val="Stitching_Instructions_(7)5"/>
      <sheetName val="Upper_Injected_Compon_Pro__(1)5"/>
      <sheetName val="Upper_Injected_Compon_Pro__(2)5"/>
      <sheetName val="Upper_HF__Printing_Welding(1)5"/>
      <sheetName val="Upper_HF_Printing_Welding(2)5"/>
      <sheetName val="Upper_HF_Welding_Process_(3)5"/>
      <sheetName val="Upper_HF_Welding_Process_(4)5"/>
      <sheetName val="Upper_HF_Printing_Welding_(5)5"/>
      <sheetName val="Upper_HF_Welding_Process_(6)5"/>
      <sheetName val="CMP_PHYLON_CSS_CONFIRMATION5"/>
      <sheetName val="Phylon_Midsole_Spec_5"/>
      <sheetName val="Stock_Fitting_Process(3)5"/>
      <sheetName val="Stock_Fitting_Process_(6)5"/>
      <sheetName val="Stock_Fitting_Process_(7)5"/>
      <sheetName val="Upper_Weight_Control5"/>
      <sheetName val="Blank_Form5"/>
      <sheetName val="Raw_Data_Sheet5"/>
      <sheetName val="Cover_7"/>
      <sheetName val="Sheet1_7"/>
      <sheetName val="Index_7"/>
      <sheetName val="Spec1_7"/>
      <sheetName val="Spec__14"/>
      <sheetName val="Spec__15"/>
      <sheetName val="Spec_8"/>
      <sheetName val="Spec_67"/>
      <sheetName val="Spec7_7"/>
      <sheetName val="Spec8_7"/>
      <sheetName val="cutting___7"/>
      <sheetName val="Punch_Specification__7"/>
      <sheetName val="Logo_Specification7"/>
      <sheetName val="Strap_Specification7"/>
      <sheetName val="Part_&amp;_Group_Specification7"/>
      <sheetName val="Reinf_Placement7"/>
      <sheetName val="Skiving_instructions7"/>
      <sheetName val="Marking_locations7"/>
      <sheetName val="Folding_Locations7"/>
      <sheetName val="Stitching_Over_View7"/>
      <sheetName val="stitching_instructions_7"/>
      <sheetName val="Computer_stitched7"/>
      <sheetName val="Upper_Molded_Component_Spec__7"/>
      <sheetName val="Upper_Molded_Component_Proc__7"/>
      <sheetName val="Upper_Measurement_Spec7"/>
      <sheetName val="PFC_Revice7"/>
      <sheetName val="Cutting_Die_(1)7"/>
      <sheetName val="Cutting_Die_(2)7"/>
      <sheetName val="Cutting_Die_(3)7"/>
      <sheetName val="Perf_Specification7"/>
      <sheetName val="Marking_Location7"/>
      <sheetName val="Marking_Locations_(2)7"/>
      <sheetName val="Skiving_Instruction_(2)7"/>
      <sheetName val="Spliting_7"/>
      <sheetName val="Reinf__Placement_(1)7"/>
      <sheetName val="Reinf__Placement_(2)7"/>
      <sheetName val="Stitching_Instructions_(1)7"/>
      <sheetName val="Stitching_Instructions_(2)7"/>
      <sheetName val="Stitching_Instructions_(3)7"/>
      <sheetName val="Computer_Stitching_7"/>
      <sheetName val="Upper_Molded_Component_Spec_7"/>
      <sheetName val="PHYLON_CSS7"/>
      <sheetName val="PHYLON_CSS_SCHEDULES7"/>
      <sheetName val="PHYLON_CSS_CONFIRMATION7"/>
      <sheetName val="Outsole_Color_7"/>
      <sheetName val="Outsole_Preform_Specifications7"/>
      <sheetName val="Outsole_Pressing_Process7"/>
      <sheetName val="Outsole_Degreasing_Process_7"/>
      <sheetName val="Stock_Fiting_UV-Light_Proce_7"/>
      <sheetName val="Stock_Fiting_Process_7"/>
      <sheetName val="IY_06_077"/>
      <sheetName val="Assembly_UV-Light_Process__7"/>
      <sheetName val="Assembly_Process_6,7_7"/>
      <sheetName val="Assembly_Process_6,77"/>
      <sheetName val="IY08_09_107"/>
      <sheetName val="Assembly_Process_8,9,10_7"/>
      <sheetName val="Assembly_Process_8,9,10_(2_)7"/>
      <sheetName val="Back_Part_Moulding_(Soccer_TPR7"/>
      <sheetName val="Ecosole_Instructions_7"/>
      <sheetName val="Sockliner_Instructions7"/>
      <sheetName val="Sock_Liner_Spec_7"/>
      <sheetName val="_(6,7)7"/>
      <sheetName val="Skiving_Instruction_(1)7"/>
      <sheetName val="Spliting_Instructions7"/>
      <sheetName val="Tapering_Instructions7"/>
      <sheetName val="Marking_Location_(1)7"/>
      <sheetName val="Marking_Location_(2)7"/>
      <sheetName val="Trim_&amp;_Edge-painting7"/>
      <sheetName val="Reinforcement_Placement7"/>
      <sheetName val="Folding_Location7"/>
      <sheetName val="Pre-Buffing_Specification7"/>
      <sheetName val="Stitching_Instructions_(4)7"/>
      <sheetName val="Upper_Laser_Process-_Spec_7"/>
      <sheetName val="Upper_Laser_Process-Spec_(2)_7"/>
      <sheetName val="Upper_Laser_Process-Spec__(3)7"/>
      <sheetName val="Sockliner__Process7"/>
      <sheetName val="Outsole_Color_Schedule7"/>
      <sheetName val="Outsole_Preform_Specification7"/>
      <sheetName val="Outsole_Pressing_Process_7"/>
      <sheetName val="PU_CSS_CONFIRMATION7"/>
      <sheetName val="PU_CSS_Schedules7"/>
      <sheetName val="PU_Midsole_Spec_I7"/>
      <sheetName val="Stock_Fitting_Process_(8)7"/>
      <sheetName val="Stock_Fitting_Process_7"/>
      <sheetName val="Stock_Fitting_Process7"/>
      <sheetName val="Stock_Fitting_Process_(2)7"/>
      <sheetName val="Stock_Fitting_Process_(3)7"/>
      <sheetName val="Stockfit_BPFC7"/>
      <sheetName val="Assembling_Process7"/>
      <sheetName val="Assembling_Process_(2)7"/>
      <sheetName val="Assembly_BPFC7"/>
      <sheetName val="Production_Checklist7"/>
      <sheetName val="Sockliner_Specification7"/>
      <sheetName val="Upper_Measurement_Spec_7"/>
      <sheetName val="索引_(1)7"/>
      <sheetName val="沖孔規格說明_(2)7"/>
      <sheetName val="_削薄處指示說明7"/>
      <sheetName val="_削薄處指示說明_(2)7"/>
      <sheetName val="_削薄處指示說明_(3)7"/>
      <sheetName val="_削薄處指示說明_(4)7"/>
      <sheetName val="_削薄處指示說明_(5)7"/>
      <sheetName val="劃線印刷指示說明_(2)7"/>
      <sheetName val="劃線印刷指示說明_(3)7"/>
      <sheetName val="折邊指示說明_7"/>
      <sheetName val="針車流程_(2)7"/>
      <sheetName val="針車流程_(3)7"/>
      <sheetName val="針車流程_(4)7"/>
      <sheetName val="針車流程_(5)7"/>
      <sheetName val="針車流程_(6)7"/>
      <sheetName val="_鞋面印刷作業流程7"/>
      <sheetName val="_鞋面高週波作業流程_(2)7"/>
      <sheetName val="__鞋墊作業流程7"/>
      <sheetName val="Cover_313845-102((259_)_(2)7"/>
      <sheetName val="Index_(1)7"/>
      <sheetName val="Logo_Specification_(2)7"/>
      <sheetName val="Screen_Printing_(4)7"/>
      <sheetName val="Upper_HF_Welding_Process(5)7"/>
      <sheetName val="Index_(3)7"/>
      <sheetName val="Bottom_Component_Process_Spec_7"/>
      <sheetName val="Stock_Fitting_Process_(4)7"/>
      <sheetName val="Stock_Fitting_Process_(5)7"/>
      <sheetName val="Stockfit_BPFC_(2)7"/>
      <sheetName val="Assembling_Process_(3)7"/>
      <sheetName val="Assembly_BPFC_(2)7"/>
      <sheetName val="Sockliner_Sublimation_Process7"/>
      <sheetName val="Cutting_D)e_(1)7"/>
      <sheetName val="Cutting_D)e_(2)7"/>
      <sheetName val="Cutting_D)e_(3)7"/>
      <sheetName val="Stitching_Instructio_s_(3)7"/>
      <sheetName val="output_per_jam7"/>
      <sheetName val="data_Productivity7"/>
      <sheetName val="MLT_7"/>
      <sheetName val="daily_BEP7"/>
      <sheetName val="178049A_XLS7"/>
      <sheetName val="LB_CUTTING_KUROBE7"/>
      <sheetName val="Cutting(3)_3_177"/>
      <sheetName val="Cutting(5)_3_137"/>
      <sheetName val="Cutting(6)3_177"/>
      <sheetName val="Molding_Piece_Schedule7"/>
      <sheetName val="Perf_Specification_(1)7"/>
      <sheetName val="Perf_Specification_(2)7"/>
      <sheetName val="Skiving_Instruction_(3)7"/>
      <sheetName val="Skiving_Instruction_(4)7"/>
      <sheetName val="Skiving_Instruction_(5)7"/>
      <sheetName val="Tapering_Instructions_3_137"/>
      <sheetName val="Marking_Location_(3)7"/>
      <sheetName val="Triming_edge_Instructions7"/>
      <sheetName val="Reinforcement_Placement_(1)7"/>
      <sheetName val="Reinforcement_Placement_(2)7"/>
      <sheetName val="Reinforcement_Placement_(2)2_18"/>
      <sheetName val="Reinforcement_Placement_(3)7"/>
      <sheetName val="Computer_Stitching_Schedule7"/>
      <sheetName val="Stitching_Overview_Sketch7"/>
      <sheetName val="Stitching_Instructions_(5)7"/>
      <sheetName val="Stitching_Instructions_(6)7"/>
      <sheetName val="Stitching_Instructions_(6)_3_18"/>
      <sheetName val="Stitching_Instructions_(7)7"/>
      <sheetName val="Upper_Injected_Compon_Pro__(1)7"/>
      <sheetName val="Upper_Injected_Compon_Pro__(2)7"/>
      <sheetName val="Upper_HF__Printing_Welding(1)7"/>
      <sheetName val="Upper_HF_Printing_Welding(2)7"/>
      <sheetName val="Upper_HF_Welding_Process_(3)7"/>
      <sheetName val="Upper_HF_Welding_Process_(4)7"/>
      <sheetName val="Upper_HF_Printing_Welding_(5)7"/>
      <sheetName val="Upper_HF_Welding_Process_(6)7"/>
      <sheetName val="CMP_PHYLON_CSS_CONFIRMATION7"/>
      <sheetName val="Phylon_Midsole_Spec_7"/>
      <sheetName val="Stock_Fitting_Process(3)7"/>
      <sheetName val="Stock_Fitting_Process_(6)7"/>
      <sheetName val="Stock_Fitting_Process_(7)7"/>
      <sheetName val="Upper_Weight_Control7"/>
      <sheetName val="Blank_Form7"/>
      <sheetName val="Raw_Data_Sheet7"/>
      <sheetName val="Cover_6"/>
      <sheetName val="Sheet1_6"/>
      <sheetName val="Index_6"/>
      <sheetName val="Spec1_6"/>
      <sheetName val="Spec__12"/>
      <sheetName val="Spec__13"/>
      <sheetName val="Spec_7"/>
      <sheetName val="Spec_66"/>
      <sheetName val="Spec7_6"/>
      <sheetName val="Spec8_6"/>
      <sheetName val="cutting___6"/>
      <sheetName val="Punch_Specification__6"/>
      <sheetName val="Logo_Specification6"/>
      <sheetName val="Strap_Specification6"/>
      <sheetName val="Part_&amp;_Group_Specification6"/>
      <sheetName val="Reinf_Placement6"/>
      <sheetName val="Skiving_instructions6"/>
      <sheetName val="Marking_locations6"/>
      <sheetName val="Folding_Locations6"/>
      <sheetName val="Stitching_Over_View6"/>
      <sheetName val="stitching_instructions_6"/>
      <sheetName val="Computer_stitched6"/>
      <sheetName val="Upper_Molded_Component_Spec__6"/>
      <sheetName val="Upper_Molded_Component_Proc__6"/>
      <sheetName val="Upper_Measurement_Spec6"/>
      <sheetName val="PFC_Revice6"/>
      <sheetName val="Cutting_Die_(1)6"/>
      <sheetName val="Cutting_Die_(2)6"/>
      <sheetName val="Cutting_Die_(3)6"/>
      <sheetName val="Perf_Specification6"/>
      <sheetName val="Marking_Location6"/>
      <sheetName val="Marking_Locations_(2)6"/>
      <sheetName val="Skiving_Instruction_(2)6"/>
      <sheetName val="Spliting_6"/>
      <sheetName val="Reinf__Placement_(1)6"/>
      <sheetName val="Reinf__Placement_(2)6"/>
      <sheetName val="Stitching_Instructions_(1)6"/>
      <sheetName val="Stitching_Instructions_(2)6"/>
      <sheetName val="Stitching_Instructions_(3)6"/>
      <sheetName val="Computer_Stitching_6"/>
      <sheetName val="Upper_Molded_Component_Spec_6"/>
      <sheetName val="PHYLON_CSS6"/>
      <sheetName val="PHYLON_CSS_SCHEDULES6"/>
      <sheetName val="PHYLON_CSS_CONFIRMATION6"/>
      <sheetName val="Outsole_Color_6"/>
      <sheetName val="Outsole_Preform_Specifications6"/>
      <sheetName val="Outsole_Pressing_Process6"/>
      <sheetName val="Outsole_Degreasing_Process_6"/>
      <sheetName val="Stock_Fiting_UV-Light_Proce_6"/>
      <sheetName val="Stock_Fiting_Process_6"/>
      <sheetName val="IY_06_076"/>
      <sheetName val="Assembly_UV-Light_Process__6"/>
      <sheetName val="Assembly_Process_6,7_6"/>
      <sheetName val="Assembly_Process_6,76"/>
      <sheetName val="IY08_09_106"/>
      <sheetName val="Assembly_Process_8,9,10_6"/>
      <sheetName val="Assembly_Process_8,9,10_(2_)6"/>
      <sheetName val="Back_Part_Moulding_(Soccer_TPR6"/>
      <sheetName val="Ecosole_Instructions_6"/>
      <sheetName val="Sockliner_Instructions6"/>
      <sheetName val="Sock_Liner_Spec_6"/>
      <sheetName val="_(6,7)6"/>
      <sheetName val="Skiving_Instruction_(1)6"/>
      <sheetName val="Spliting_Instructions6"/>
      <sheetName val="Tapering_Instructions6"/>
      <sheetName val="Marking_Location_(1)6"/>
      <sheetName val="Marking_Location_(2)6"/>
      <sheetName val="Trim_&amp;_Edge-painting6"/>
      <sheetName val="Reinforcement_Placement6"/>
      <sheetName val="Folding_Location6"/>
      <sheetName val="Pre-Buffing_Specification6"/>
      <sheetName val="Stitching_Instructions_(4)6"/>
      <sheetName val="Upper_Laser_Process-_Spec_6"/>
      <sheetName val="Upper_Laser_Process-Spec_(2)_6"/>
      <sheetName val="Upper_Laser_Process-Spec__(3)6"/>
      <sheetName val="Sockliner__Process6"/>
      <sheetName val="Outsole_Color_Schedule6"/>
      <sheetName val="Outsole_Preform_Specification6"/>
      <sheetName val="Outsole_Pressing_Process_6"/>
      <sheetName val="PU_CSS_CONFIRMATION6"/>
      <sheetName val="PU_CSS_Schedules6"/>
      <sheetName val="PU_Midsole_Spec_I6"/>
      <sheetName val="Stock_Fitting_Process_(8)6"/>
      <sheetName val="Stock_Fitting_Process_6"/>
      <sheetName val="Stock_Fitting_Process6"/>
      <sheetName val="Stock_Fitting_Process_(2)6"/>
      <sheetName val="Stock_Fitting_Process_(3)6"/>
      <sheetName val="Stockfit_BPFC6"/>
      <sheetName val="Assembling_Process6"/>
      <sheetName val="Assembling_Process_(2)6"/>
      <sheetName val="Assembly_BPFC6"/>
      <sheetName val="Production_Checklist6"/>
      <sheetName val="Sockliner_Specification6"/>
      <sheetName val="Upper_Measurement_Spec_6"/>
      <sheetName val="索引_(1)6"/>
      <sheetName val="沖孔規格說明_(2)6"/>
      <sheetName val="_削薄處指示說明6"/>
      <sheetName val="_削薄處指示說明_(2)6"/>
      <sheetName val="_削薄處指示說明_(3)6"/>
      <sheetName val="_削薄處指示說明_(4)6"/>
      <sheetName val="_削薄處指示說明_(5)6"/>
      <sheetName val="劃線印刷指示說明_(2)6"/>
      <sheetName val="劃線印刷指示說明_(3)6"/>
      <sheetName val="折邊指示說明_6"/>
      <sheetName val="針車流程_(2)6"/>
      <sheetName val="針車流程_(3)6"/>
      <sheetName val="針車流程_(4)6"/>
      <sheetName val="針車流程_(5)6"/>
      <sheetName val="針車流程_(6)6"/>
      <sheetName val="_鞋面印刷作業流程6"/>
      <sheetName val="_鞋面高週波作業流程_(2)6"/>
      <sheetName val="__鞋墊作業流程6"/>
      <sheetName val="Cover_313845-102((259_)_(2)6"/>
      <sheetName val="Index_(1)6"/>
      <sheetName val="Logo_Specification_(2)6"/>
      <sheetName val="Screen_Printing_(4)6"/>
      <sheetName val="Upper_HF_Welding_Process(5)6"/>
      <sheetName val="Index_(3)6"/>
      <sheetName val="Bottom_Component_Process_Spec_6"/>
      <sheetName val="Stock_Fitting_Process_(4)6"/>
      <sheetName val="Stock_Fitting_Process_(5)6"/>
      <sheetName val="Stockfit_BPFC_(2)6"/>
      <sheetName val="Assembling_Process_(3)6"/>
      <sheetName val="Assembly_BPFC_(2)6"/>
      <sheetName val="Sockliner_Sublimation_Process6"/>
      <sheetName val="Cutting_D)e_(1)6"/>
      <sheetName val="Cutting_D)e_(2)6"/>
      <sheetName val="Cutting_D)e_(3)6"/>
      <sheetName val="Stitching_Instructio_s_(3)6"/>
      <sheetName val="output_per_jam6"/>
      <sheetName val="data_Productivity6"/>
      <sheetName val="MLT_6"/>
      <sheetName val="daily_BEP6"/>
      <sheetName val="178049A_XLS6"/>
      <sheetName val="LB_CUTTING_KUROBE6"/>
      <sheetName val="Cutting(3)_3_176"/>
      <sheetName val="Cutting(5)_3_136"/>
      <sheetName val="Cutting(6)3_176"/>
      <sheetName val="Molding_Piece_Schedule6"/>
      <sheetName val="Perf_Specification_(1)6"/>
      <sheetName val="Perf_Specification_(2)6"/>
      <sheetName val="Skiving_Instruction_(3)6"/>
      <sheetName val="Skiving_Instruction_(4)6"/>
      <sheetName val="Skiving_Instruction_(5)6"/>
      <sheetName val="Tapering_Instructions_3_136"/>
      <sheetName val="Marking_Location_(3)6"/>
      <sheetName val="Triming_edge_Instructions6"/>
      <sheetName val="Reinforcement_Placement_(1)6"/>
      <sheetName val="Reinforcement_Placement_(2)6"/>
      <sheetName val="Reinforcement_Placement_(2)2_16"/>
      <sheetName val="Reinforcement_Placement_(3)6"/>
      <sheetName val="Computer_Stitching_Schedule6"/>
      <sheetName val="Stitching_Overview_Sketch6"/>
      <sheetName val="Stitching_Instructions_(5)6"/>
      <sheetName val="Stitching_Instructions_(6)6"/>
      <sheetName val="Stitching_Instructions_(6)_3_16"/>
      <sheetName val="Stitching_Instructions_(7)6"/>
      <sheetName val="Upper_Injected_Compon_Pro__(1)6"/>
      <sheetName val="Upper_Injected_Compon_Pro__(2)6"/>
      <sheetName val="Upper_HF__Printing_Welding(1)6"/>
      <sheetName val="Upper_HF_Printing_Welding(2)6"/>
      <sheetName val="Upper_HF_Welding_Process_(3)6"/>
      <sheetName val="Upper_HF_Welding_Process_(4)6"/>
      <sheetName val="Upper_HF_Printing_Welding_(5)6"/>
      <sheetName val="Upper_HF_Welding_Process_(6)6"/>
      <sheetName val="CMP_PHYLON_CSS_CONFIRMATION6"/>
      <sheetName val="Phylon_Midsole_Spec_6"/>
      <sheetName val="Stock_Fitting_Process(3)6"/>
      <sheetName val="Stock_Fitting_Process_(6)6"/>
      <sheetName val="Stock_Fitting_Process_(7)6"/>
      <sheetName val="Upper_Weight_Control6"/>
      <sheetName val="Blank_Form6"/>
      <sheetName val="Raw_Data_Sheet6"/>
      <sheetName val="Cover_8"/>
      <sheetName val="Sheet1_8"/>
      <sheetName val="Index_8"/>
      <sheetName val="Spec1_8"/>
      <sheetName val="Spec__16"/>
      <sheetName val="Spec__17"/>
      <sheetName val="Spec_9"/>
      <sheetName val="Spec_68"/>
      <sheetName val="Spec7_8"/>
      <sheetName val="Spec8_8"/>
      <sheetName val="cutting___8"/>
      <sheetName val="Punch_Specification__8"/>
      <sheetName val="Logo_Specification8"/>
      <sheetName val="Strap_Specification8"/>
      <sheetName val="Part_&amp;_Group_Specification8"/>
      <sheetName val="Reinf_Placement8"/>
      <sheetName val="Skiving_instructions8"/>
      <sheetName val="Marking_locations8"/>
      <sheetName val="Folding_Locations8"/>
      <sheetName val="Stitching_Over_View8"/>
      <sheetName val="stitching_instructions_8"/>
      <sheetName val="Computer_stitched8"/>
      <sheetName val="Upper_Molded_Component_Spec__8"/>
      <sheetName val="Upper_Molded_Component_Proc__8"/>
      <sheetName val="Upper_Measurement_Spec8"/>
      <sheetName val="PFC_Revice8"/>
      <sheetName val="Cutting_Die_(1)8"/>
      <sheetName val="Cutting_Die_(2)8"/>
      <sheetName val="Cutting_Die_(3)8"/>
      <sheetName val="Perf_Specification8"/>
      <sheetName val="Marking_Location8"/>
      <sheetName val="Marking_Locations_(2)8"/>
      <sheetName val="Skiving_Instruction_(2)8"/>
      <sheetName val="Spliting_8"/>
      <sheetName val="Reinf__Placement_(1)8"/>
      <sheetName val="Reinf__Placement_(2)8"/>
      <sheetName val="Stitching_Instructions_(1)8"/>
      <sheetName val="Stitching_Instructions_(2)8"/>
      <sheetName val="Stitching_Instructions_(3)8"/>
      <sheetName val="Computer_Stitching_8"/>
      <sheetName val="Upper_Molded_Component_Spec_8"/>
      <sheetName val="PHYLON_CSS8"/>
      <sheetName val="PHYLON_CSS_SCHEDULES8"/>
      <sheetName val="PHYLON_CSS_CONFIRMATION8"/>
      <sheetName val="Outsole_Color_8"/>
      <sheetName val="Outsole_Preform_Specifications8"/>
      <sheetName val="Outsole_Pressing_Process8"/>
      <sheetName val="Outsole_Degreasing_Process_8"/>
      <sheetName val="Stock_Fiting_UV-Light_Proce_8"/>
      <sheetName val="Stock_Fiting_Process_8"/>
      <sheetName val="IY_06_078"/>
      <sheetName val="Assembly_UV-Light_Process__8"/>
      <sheetName val="Assembly_Process_6,7_8"/>
      <sheetName val="Assembly_Process_6,78"/>
      <sheetName val="IY08_09_108"/>
      <sheetName val="Assembly_Process_8,9,10_8"/>
      <sheetName val="Assembly_Process_8,9,10_(2_)8"/>
      <sheetName val="Back_Part_Moulding_(Soccer_TPR8"/>
      <sheetName val="Ecosole_Instructions_8"/>
      <sheetName val="Sockliner_Instructions8"/>
      <sheetName val="Sock_Liner_Spec_8"/>
      <sheetName val="_(6,7)8"/>
      <sheetName val="Skiving_Instruction_(1)8"/>
      <sheetName val="Spliting_Instructions8"/>
      <sheetName val="Tapering_Instructions8"/>
      <sheetName val="Marking_Location_(1)8"/>
      <sheetName val="Marking_Location_(2)8"/>
      <sheetName val="Trim_&amp;_Edge-painting8"/>
      <sheetName val="Reinforcement_Placement8"/>
      <sheetName val="Folding_Location8"/>
      <sheetName val="Pre-Buffing_Specification8"/>
      <sheetName val="Stitching_Instructions_(4)8"/>
      <sheetName val="Upper_Laser_Process-_Spec_8"/>
      <sheetName val="Upper_Laser_Process-Spec_(2)_8"/>
      <sheetName val="Upper_Laser_Process-Spec__(3)8"/>
      <sheetName val="Sockliner__Process8"/>
      <sheetName val="Outsole_Color_Schedule8"/>
      <sheetName val="Outsole_Preform_Specification8"/>
      <sheetName val="Outsole_Pressing_Process_8"/>
      <sheetName val="PU_CSS_CONFIRMATION8"/>
      <sheetName val="PU_CSS_Schedules8"/>
      <sheetName val="PU_Midsole_Spec_I8"/>
      <sheetName val="Stock_Fitting_Process_(8)8"/>
      <sheetName val="Stock_Fitting_Process_8"/>
      <sheetName val="Stock_Fitting_Process8"/>
      <sheetName val="Stock_Fitting_Process_(2)8"/>
      <sheetName val="Stock_Fitting_Process_(3)8"/>
      <sheetName val="Stockfit_BPFC8"/>
      <sheetName val="Assembling_Process8"/>
      <sheetName val="Assembling_Process_(2)8"/>
      <sheetName val="Assembly_BPFC8"/>
      <sheetName val="Production_Checklist8"/>
      <sheetName val="Sockliner_Specification8"/>
      <sheetName val="Upper_Measurement_Spec_8"/>
      <sheetName val="索引_(1)8"/>
      <sheetName val="沖孔規格說明_(2)8"/>
      <sheetName val="_削薄處指示說明8"/>
      <sheetName val="_削薄處指示說明_(2)8"/>
      <sheetName val="_削薄處指示說明_(3)8"/>
      <sheetName val="_削薄處指示說明_(4)8"/>
      <sheetName val="_削薄處指示說明_(5)8"/>
      <sheetName val="劃線印刷指示說明_(2)8"/>
      <sheetName val="劃線印刷指示說明_(3)8"/>
      <sheetName val="折邊指示說明_8"/>
      <sheetName val="針車流程_(2)8"/>
      <sheetName val="針車流程_(3)8"/>
      <sheetName val="針車流程_(4)8"/>
      <sheetName val="針車流程_(5)8"/>
      <sheetName val="針車流程_(6)8"/>
      <sheetName val="_鞋面印刷作業流程8"/>
      <sheetName val="_鞋面高週波作業流程_(2)8"/>
      <sheetName val="__鞋墊作業流程8"/>
      <sheetName val="Cover_313845-102((259_)_(2)8"/>
      <sheetName val="Index_(1)8"/>
      <sheetName val="Logo_Specification_(2)8"/>
      <sheetName val="Screen_Printing_(4)8"/>
      <sheetName val="Upper_HF_Welding_Process(5)8"/>
      <sheetName val="Index_(3)8"/>
      <sheetName val="Bottom_Component_Process_Spec_8"/>
      <sheetName val="Stock_Fitting_Process_(4)8"/>
      <sheetName val="Stock_Fitting_Process_(5)8"/>
      <sheetName val="Stockfit_BPFC_(2)8"/>
      <sheetName val="Assembling_Process_(3)8"/>
      <sheetName val="Assembly_BPFC_(2)8"/>
      <sheetName val="Sockliner_Sublimation_Process8"/>
      <sheetName val="Cutting_D)e_(1)8"/>
      <sheetName val="Cutting_D)e_(2)8"/>
      <sheetName val="Cutting_D)e_(3)8"/>
      <sheetName val="Stitching_Instructio_s_(3)8"/>
      <sheetName val="output_per_jam8"/>
      <sheetName val="data_Productivity8"/>
      <sheetName val="MLT_8"/>
      <sheetName val="daily_BEP8"/>
      <sheetName val="178049A_XLS8"/>
      <sheetName val="LB_CUTTING_KUROBE8"/>
      <sheetName val="Cutting(3)_3_178"/>
      <sheetName val="Cutting(5)_3_138"/>
      <sheetName val="Cutting(6)3_178"/>
      <sheetName val="Molding_Piece_Schedule8"/>
      <sheetName val="Perf_Specification_(1)8"/>
      <sheetName val="Perf_Specification_(2)8"/>
      <sheetName val="Skiving_Instruction_(3)8"/>
      <sheetName val="Skiving_Instruction_(4)8"/>
      <sheetName val="Skiving_Instruction_(5)8"/>
      <sheetName val="Tapering_Instructions_3_138"/>
      <sheetName val="Marking_Location_(3)8"/>
      <sheetName val="Triming_edge_Instructions8"/>
      <sheetName val="Reinforcement_Placement_(1)8"/>
      <sheetName val="Reinforcement_Placement_(2)8"/>
      <sheetName val="Reinforcement_Placement_(2)2_19"/>
      <sheetName val="Reinforcement_Placement_(3)8"/>
      <sheetName val="Computer_Stitching_Schedule8"/>
      <sheetName val="Stitching_Overview_Sketch8"/>
      <sheetName val="Stitching_Instructions_(5)8"/>
      <sheetName val="Stitching_Instructions_(6)8"/>
      <sheetName val="Stitching_Instructions_(6)_3_19"/>
      <sheetName val="Stitching_Instructions_(7)8"/>
      <sheetName val="Upper_Injected_Compon_Pro__(1)8"/>
      <sheetName val="Upper_Injected_Compon_Pro__(2)8"/>
      <sheetName val="Upper_HF__Printing_Welding(1)8"/>
      <sheetName val="Upper_HF_Printing_Welding(2)8"/>
      <sheetName val="Upper_HF_Welding_Process_(3)8"/>
      <sheetName val="Upper_HF_Welding_Process_(4)8"/>
      <sheetName val="Upper_HF_Printing_Welding_(5)8"/>
      <sheetName val="Upper_HF_Welding_Process_(6)8"/>
      <sheetName val="CMP_PHYLON_CSS_CONFIRMATION8"/>
      <sheetName val="Phylon_Midsole_Spec_8"/>
      <sheetName val="Stock_Fitting_Process(3)8"/>
      <sheetName val="Stock_Fitting_Process_(6)8"/>
      <sheetName val="Stock_Fitting_Process_(7)8"/>
      <sheetName val="Upper_Weight_Control8"/>
      <sheetName val="Blank_Form8"/>
      <sheetName val="Raw_Data_Sheet8"/>
      <sheetName val="Cover_9"/>
      <sheetName val="Sheet1_9"/>
      <sheetName val="Index_9"/>
      <sheetName val="Spec1_9"/>
      <sheetName val="Spec__18"/>
      <sheetName val="Spec__19"/>
      <sheetName val="Spec_10"/>
      <sheetName val="Spec_69"/>
      <sheetName val="Spec7_9"/>
      <sheetName val="Spec8_9"/>
      <sheetName val="cutting___9"/>
      <sheetName val="Punch_Specification__9"/>
      <sheetName val="Logo_Specification9"/>
      <sheetName val="Strap_Specification9"/>
      <sheetName val="Part_&amp;_Group_Specification9"/>
      <sheetName val="Reinf_Placement9"/>
      <sheetName val="Skiving_instructions9"/>
      <sheetName val="Marking_locations9"/>
      <sheetName val="Folding_Locations9"/>
      <sheetName val="Stitching_Over_View9"/>
      <sheetName val="stitching_instructions_9"/>
      <sheetName val="Computer_stitched9"/>
      <sheetName val="Upper_Molded_Component_Spec__9"/>
      <sheetName val="Upper_Molded_Component_Proc__9"/>
      <sheetName val="Upper_Measurement_Spec9"/>
      <sheetName val="PFC_Revice9"/>
      <sheetName val="Cutting_Die_(1)9"/>
      <sheetName val="Cutting_Die_(2)9"/>
      <sheetName val="Cutting_Die_(3)9"/>
      <sheetName val="Perf_Specification9"/>
      <sheetName val="Marking_Location9"/>
      <sheetName val="Marking_Locations_(2)9"/>
      <sheetName val="Skiving_Instruction_(2)9"/>
      <sheetName val="Spliting_9"/>
      <sheetName val="Reinf__Placement_(1)9"/>
      <sheetName val="Reinf__Placement_(2)9"/>
      <sheetName val="Stitching_Instructions_(1)9"/>
      <sheetName val="Stitching_Instructions_(2)9"/>
      <sheetName val="Stitching_Instructions_(3)9"/>
      <sheetName val="Computer_Stitching_9"/>
      <sheetName val="Upper_Molded_Component_Spec_9"/>
      <sheetName val="PHYLON_CSS9"/>
      <sheetName val="PHYLON_CSS_SCHEDULES9"/>
      <sheetName val="PHYLON_CSS_CONFIRMATION9"/>
      <sheetName val="Outsole_Color_9"/>
      <sheetName val="Outsole_Preform_Specifications9"/>
      <sheetName val="Outsole_Pressing_Process9"/>
      <sheetName val="Outsole_Degreasing_Process_9"/>
      <sheetName val="Stock_Fiting_UV-Light_Proce_9"/>
      <sheetName val="Stock_Fiting_Process_9"/>
      <sheetName val="IY_06_079"/>
      <sheetName val="Assembly_UV-Light_Process__9"/>
      <sheetName val="Assembly_Process_6,7_9"/>
      <sheetName val="Assembly_Process_6,79"/>
      <sheetName val="IY08_09_109"/>
      <sheetName val="Assembly_Process_8,9,10_9"/>
      <sheetName val="Assembly_Process_8,9,10_(2_)9"/>
      <sheetName val="Back_Part_Moulding_(Soccer_TPR9"/>
      <sheetName val="Ecosole_Instructions_9"/>
      <sheetName val="Sockliner_Instructions9"/>
      <sheetName val="Sock_Liner_Spec_9"/>
      <sheetName val="_(6,7)9"/>
      <sheetName val="Skiving_Instruction_(1)9"/>
      <sheetName val="Spliting_Instructions9"/>
      <sheetName val="Tapering_Instructions9"/>
      <sheetName val="Marking_Location_(1)9"/>
      <sheetName val="Marking_Location_(2)9"/>
      <sheetName val="Trim_&amp;_Edge-painting9"/>
      <sheetName val="Reinforcement_Placement9"/>
      <sheetName val="Folding_Location9"/>
      <sheetName val="Pre-Buffing_Specification9"/>
      <sheetName val="Stitching_Instructions_(4)9"/>
      <sheetName val="Upper_Laser_Process-_Spec_9"/>
      <sheetName val="Upper_Laser_Process-Spec_(2)_9"/>
      <sheetName val="Upper_Laser_Process-Spec__(3)9"/>
      <sheetName val="Sockliner__Process9"/>
      <sheetName val="Outsole_Color_Schedule9"/>
      <sheetName val="Outsole_Preform_Specification9"/>
      <sheetName val="Outsole_Pressing_Process_9"/>
      <sheetName val="PU_CSS_CONFIRMATION9"/>
      <sheetName val="PU_CSS_Schedules9"/>
      <sheetName val="PU_Midsole_Spec_I9"/>
      <sheetName val="Stock_Fitting_Process_(8)9"/>
      <sheetName val="Stock_Fitting_Process_9"/>
      <sheetName val="Stock_Fitting_Process9"/>
      <sheetName val="Stock_Fitting_Process_(2)9"/>
      <sheetName val="Stock_Fitting_Process_(3)9"/>
      <sheetName val="Stockfit_BPFC9"/>
      <sheetName val="Assembling_Process9"/>
      <sheetName val="Assembling_Process_(2)9"/>
      <sheetName val="Assembly_BPFC9"/>
      <sheetName val="Production_Checklist9"/>
      <sheetName val="Sockliner_Specification9"/>
      <sheetName val="Upper_Measurement_Spec_9"/>
      <sheetName val="索引_(1)9"/>
      <sheetName val="沖孔規格說明_(2)9"/>
      <sheetName val="_削薄處指示說明9"/>
      <sheetName val="_削薄處指示說明_(2)9"/>
      <sheetName val="_削薄處指示說明_(3)9"/>
      <sheetName val="_削薄處指示說明_(4)9"/>
      <sheetName val="_削薄處指示說明_(5)9"/>
      <sheetName val="劃線印刷指示說明_(2)9"/>
      <sheetName val="劃線印刷指示說明_(3)9"/>
      <sheetName val="折邊指示說明_9"/>
      <sheetName val="針車流程_(2)9"/>
      <sheetName val="針車流程_(3)9"/>
      <sheetName val="針車流程_(4)9"/>
      <sheetName val="針車流程_(5)9"/>
      <sheetName val="針車流程_(6)9"/>
      <sheetName val="_鞋面印刷作業流程9"/>
      <sheetName val="_鞋面高週波作業流程_(2)9"/>
      <sheetName val="__鞋墊作業流程9"/>
      <sheetName val="Cover_313845-102((259_)_(2)9"/>
      <sheetName val="Index_(1)9"/>
      <sheetName val="Logo_Specification_(2)9"/>
      <sheetName val="Screen_Printing_(4)9"/>
      <sheetName val="Upper_HF_Welding_Process(5)9"/>
      <sheetName val="Index_(3)9"/>
      <sheetName val="Bottom_Component_Process_Spec_9"/>
      <sheetName val="Stock_Fitting_Process_(4)9"/>
      <sheetName val="Stock_Fitting_Process_(5)9"/>
      <sheetName val="Stockfit_BPFC_(2)9"/>
      <sheetName val="Assembling_Process_(3)9"/>
      <sheetName val="Assembly_BPFC_(2)9"/>
      <sheetName val="Sockliner_Sublimation_Process9"/>
      <sheetName val="Cutting_D)e_(1)9"/>
      <sheetName val="Cutting_D)e_(2)9"/>
      <sheetName val="Cutting_D)e_(3)9"/>
      <sheetName val="Stitching_Instructio_s_(3)9"/>
      <sheetName val="output_per_jam9"/>
      <sheetName val="data_Productivity9"/>
      <sheetName val="MLT_9"/>
      <sheetName val="daily_BEP9"/>
      <sheetName val="178049A_XLS9"/>
      <sheetName val="LB_CUTTING_KUROBE9"/>
      <sheetName val="Cutting(3)_3_179"/>
      <sheetName val="Cutting(5)_3_139"/>
      <sheetName val="Cutting(6)3_179"/>
      <sheetName val="Molding_Piece_Schedule9"/>
      <sheetName val="Perf_Specification_(1)9"/>
      <sheetName val="Perf_Specification_(2)9"/>
      <sheetName val="Skiving_Instruction_(3)9"/>
      <sheetName val="Skiving_Instruction_(4)9"/>
      <sheetName val="Skiving_Instruction_(5)9"/>
      <sheetName val="Tapering_Instructions_3_139"/>
      <sheetName val="Marking_Location_(3)9"/>
      <sheetName val="Triming_edge_Instructions9"/>
      <sheetName val="Reinforcement_Placement_(1)9"/>
      <sheetName val="Reinforcement_Placement_(2)9"/>
      <sheetName val="Reinforcement_Placement_(2)2_10"/>
      <sheetName val="Reinforcement_Placement_(3)9"/>
      <sheetName val="Computer_Stitching_Schedule9"/>
      <sheetName val="Stitching_Overview_Sketch9"/>
      <sheetName val="Stitching_Instructions_(5)9"/>
      <sheetName val="Stitching_Instructions_(6)9"/>
      <sheetName val="Stitching_Instructions_(6)_3_10"/>
      <sheetName val="Stitching_Instructions_(7)9"/>
      <sheetName val="Upper_Injected_Compon_Pro__(1)9"/>
      <sheetName val="Upper_Injected_Compon_Pro__(2)9"/>
      <sheetName val="Upper_HF__Printing_Welding(1)9"/>
      <sheetName val="Upper_HF_Printing_Welding(2)9"/>
      <sheetName val="Upper_HF_Welding_Process_(3)9"/>
      <sheetName val="Upper_HF_Welding_Process_(4)9"/>
      <sheetName val="Upper_HF_Printing_Welding_(5)9"/>
      <sheetName val="Upper_HF_Welding_Process_(6)9"/>
      <sheetName val="CMP_PHYLON_CSS_CONFIRMATION9"/>
      <sheetName val="Phylon_Midsole_Spec_9"/>
      <sheetName val="Stock_Fitting_Process(3)9"/>
      <sheetName val="Stock_Fitting_Process_(6)9"/>
      <sheetName val="Stock_Fitting_Process_(7)9"/>
      <sheetName val="Upper_Weight_Control9"/>
      <sheetName val="Blank_Form9"/>
      <sheetName val="Raw_Data_Sheet9"/>
      <sheetName val="Cover_10"/>
      <sheetName val="Sheet1_10"/>
      <sheetName val="Index_10"/>
      <sheetName val="Spec1_10"/>
      <sheetName val="Spec__20"/>
      <sheetName val="Spec__21"/>
      <sheetName val="Spec_11"/>
      <sheetName val="Spec_610"/>
      <sheetName val="Spec7_10"/>
      <sheetName val="Spec8_10"/>
      <sheetName val="cutting___10"/>
      <sheetName val="Punch_Specification__10"/>
      <sheetName val="Logo_Specification10"/>
      <sheetName val="Strap_Specification10"/>
      <sheetName val="Part_&amp;_Group_Specification10"/>
      <sheetName val="Reinf_Placement10"/>
      <sheetName val="Skiving_instructions10"/>
      <sheetName val="Marking_locations10"/>
      <sheetName val="Folding_Locations10"/>
      <sheetName val="Stitching_Over_View10"/>
      <sheetName val="stitching_instructions_10"/>
      <sheetName val="Computer_stitched10"/>
      <sheetName val="Upper_Molded_Component_Spec__10"/>
      <sheetName val="Upper_Molded_Component_Proc__10"/>
      <sheetName val="Upper_Measurement_Spec10"/>
      <sheetName val="PFC_Revice10"/>
      <sheetName val="Cutting_Die_(1)10"/>
      <sheetName val="Cutting_Die_(2)10"/>
      <sheetName val="Cutting_Die_(3)10"/>
      <sheetName val="Perf_Specification10"/>
      <sheetName val="Marking_Location10"/>
      <sheetName val="Marking_Locations_(2)10"/>
      <sheetName val="Skiving_Instruction_(2)10"/>
      <sheetName val="Spliting_10"/>
      <sheetName val="Reinf__Placement_(1)10"/>
      <sheetName val="Reinf__Placement_(2)10"/>
      <sheetName val="Stitching_Instructions_(1)10"/>
      <sheetName val="Stitching_Instructions_(2)10"/>
      <sheetName val="Stitching_Instructions_(3)10"/>
      <sheetName val="Computer_Stitching_10"/>
      <sheetName val="Upper_Molded_Component_Spec_10"/>
      <sheetName val="PHYLON_CSS10"/>
      <sheetName val="PHYLON_CSS_SCHEDULES10"/>
      <sheetName val="PHYLON_CSS_CONFIRMATION10"/>
      <sheetName val="Outsole_Color_10"/>
      <sheetName val="Outsole_Preform_Specification10"/>
      <sheetName val="Outsole_Pressing_Process10"/>
      <sheetName val="Outsole_Degreasing_Process_10"/>
      <sheetName val="Stock_Fiting_UV-Light_Proce_10"/>
      <sheetName val="Stock_Fiting_Process_10"/>
      <sheetName val="IY_06_0710"/>
      <sheetName val="Assembly_UV-Light_Process__10"/>
      <sheetName val="Assembly_Process_6,7_10"/>
      <sheetName val="Assembly_Process_6,710"/>
      <sheetName val="IY08_09_1010"/>
      <sheetName val="Assembly_Process_8,9,10_10"/>
      <sheetName val="Assembly_Process_8,9,10_(2_)10"/>
      <sheetName val="Back_Part_Moulding_(Soccer_TP10"/>
      <sheetName val="Ecosole_Instructions_10"/>
      <sheetName val="Sockliner_Instructions10"/>
      <sheetName val="Sock_Liner_Spec_10"/>
      <sheetName val="_(6,7)10"/>
      <sheetName val="Skiving_Instruction_(1)10"/>
      <sheetName val="Spliting_Instructions10"/>
      <sheetName val="Tapering_Instructions10"/>
      <sheetName val="Marking_Location_(1)10"/>
      <sheetName val="Marking_Location_(2)10"/>
      <sheetName val="Trim_&amp;_Edge-painting10"/>
      <sheetName val="Reinforcement_Placement10"/>
      <sheetName val="Folding_Location10"/>
      <sheetName val="Pre-Buffing_Specification10"/>
      <sheetName val="Stitching_Instructions_(4)10"/>
      <sheetName val="Upper_Laser_Process-_Spec_10"/>
      <sheetName val="Upper_Laser_Process-Spec_(2)_10"/>
      <sheetName val="Upper_Laser_Process-Spec__(3)10"/>
      <sheetName val="Sockliner__Process10"/>
      <sheetName val="Outsole_Color_Schedule10"/>
      <sheetName val="Outsole_Preform_Specification11"/>
      <sheetName val="Outsole_Pressing_Process_10"/>
      <sheetName val="PU_CSS_CONFIRMATION10"/>
      <sheetName val="PU_CSS_Schedules10"/>
      <sheetName val="PU_Midsole_Spec_I10"/>
      <sheetName val="Stock_Fitting_Process_(8)10"/>
      <sheetName val="Stock_Fitting_Process_10"/>
      <sheetName val="Stock_Fitting_Process10"/>
      <sheetName val="Stock_Fitting_Process_(2)10"/>
      <sheetName val="Stock_Fitting_Process_(3)10"/>
      <sheetName val="Stockfit_BPFC10"/>
      <sheetName val="Assembling_Process10"/>
      <sheetName val="Assembling_Process_(2)10"/>
      <sheetName val="Assembly_BPFC10"/>
      <sheetName val="Production_Checklist10"/>
      <sheetName val="Sockliner_Specification10"/>
      <sheetName val="Upper_Measurement_Spec_10"/>
      <sheetName val="索引_(1)10"/>
      <sheetName val="沖孔規格說明_(2)10"/>
      <sheetName val="_削薄處指示說明10"/>
      <sheetName val="_削薄處指示說明_(2)10"/>
      <sheetName val="_削薄處指示說明_(3)10"/>
      <sheetName val="_削薄處指示說明_(4)10"/>
      <sheetName val="_削薄處指示說明_(5)10"/>
      <sheetName val="劃線印刷指示說明_(2)10"/>
      <sheetName val="劃線印刷指示說明_(3)10"/>
      <sheetName val="折邊指示說明_10"/>
      <sheetName val="針車流程_(2)10"/>
      <sheetName val="針車流程_(3)10"/>
      <sheetName val="針車流程_(4)10"/>
      <sheetName val="針車流程_(5)10"/>
      <sheetName val="針車流程_(6)10"/>
      <sheetName val="_鞋面印刷作業流程10"/>
      <sheetName val="_鞋面高週波作業流程_(2)10"/>
      <sheetName val="__鞋墊作業流程10"/>
      <sheetName val="Cover_313845-102((259_)_(2)10"/>
      <sheetName val="Index_(1)10"/>
      <sheetName val="Logo_Specification_(2)10"/>
      <sheetName val="Screen_Printing_(4)10"/>
      <sheetName val="Upper_HF_Welding_Process(5)10"/>
      <sheetName val="Index_(3)10"/>
      <sheetName val="Bottom_Component_Process_Spec10"/>
      <sheetName val="Stock_Fitting_Process_(4)10"/>
      <sheetName val="Stock_Fitting_Process_(5)10"/>
      <sheetName val="Stockfit_BPFC_(2)10"/>
      <sheetName val="Assembling_Process_(3)10"/>
      <sheetName val="Assembly_BPFC_(2)10"/>
      <sheetName val="Sockliner_Sublimation_Process10"/>
      <sheetName val="Cutting_D)e_(1)10"/>
      <sheetName val="Cutting_D)e_(2)10"/>
      <sheetName val="Cutting_D)e_(3)10"/>
      <sheetName val="Stitching_Instructio_s_(3)10"/>
      <sheetName val="output_per_jam10"/>
      <sheetName val="data_Productivity10"/>
      <sheetName val="MLT_10"/>
      <sheetName val="daily_BEP10"/>
      <sheetName val="178049A_XLS10"/>
      <sheetName val="LB_CUTTING_KUROBE10"/>
      <sheetName val="Cutting(3)_3_1710"/>
      <sheetName val="Cutting(5)_3_1310"/>
      <sheetName val="Cutting(6)3_1710"/>
      <sheetName val="Molding_Piece_Schedule10"/>
      <sheetName val="Perf_Specification_(1)10"/>
      <sheetName val="Perf_Specification_(2)10"/>
      <sheetName val="Skiving_Instruction_(3)10"/>
      <sheetName val="Skiving_Instruction_(4)10"/>
      <sheetName val="Skiving_Instruction_(5)10"/>
      <sheetName val="Tapering_Instructions_3_1310"/>
      <sheetName val="Marking_Location_(3)10"/>
      <sheetName val="Triming_edge_Instructions10"/>
      <sheetName val="Reinforcement_Placement_(1)10"/>
      <sheetName val="Reinforcement_Placement_(2)10"/>
      <sheetName val="Reinforcement_Placement_(2)2_20"/>
      <sheetName val="Reinforcement_Placement_(3)10"/>
      <sheetName val="Computer_Stitching_Schedule10"/>
      <sheetName val="Stitching_Overview_Sketch10"/>
      <sheetName val="Stitching_Instructions_(5)10"/>
      <sheetName val="Stitching_Instructions_(6)10"/>
      <sheetName val="Stitching_Instructions_(6)_3_20"/>
      <sheetName val="Stitching_Instructions_(7)10"/>
      <sheetName val="Upper_Injected_Compon_Pro__(110"/>
      <sheetName val="Upper_Injected_Compon_Pro__(210"/>
      <sheetName val="Upper_HF__Printing_Welding(1)10"/>
      <sheetName val="Upper_HF_Printing_Welding(2)10"/>
      <sheetName val="Upper_HF_Welding_Process_(3)10"/>
      <sheetName val="Upper_HF_Welding_Process_(4)10"/>
      <sheetName val="Upper_HF_Printing_Welding_(5)10"/>
      <sheetName val="Upper_HF_Welding_Process_(6)10"/>
      <sheetName val="CMP_PHYLON_CSS_CONFIRMATION10"/>
      <sheetName val="Phylon_Midsole_Spec_10"/>
      <sheetName val="Stock_Fitting_Process(3)10"/>
      <sheetName val="Stock_Fitting_Process_(6)10"/>
      <sheetName val="Stock_Fitting_Process_(7)10"/>
      <sheetName val="Upper_Weight_Control10"/>
      <sheetName val="Blank_Form10"/>
      <sheetName val="Raw_Data_Sheet10"/>
      <sheetName val="Cover_12"/>
      <sheetName val="Sheet1_12"/>
      <sheetName val="Index_12"/>
      <sheetName val="Spec1_12"/>
      <sheetName val="Spec__24"/>
      <sheetName val="Spec__25"/>
      <sheetName val="Spec_13"/>
      <sheetName val="Spec_612"/>
      <sheetName val="Spec7_12"/>
      <sheetName val="Spec8_12"/>
      <sheetName val="cutting___12"/>
      <sheetName val="Punch_Specification__12"/>
      <sheetName val="Logo_Specification12"/>
      <sheetName val="Strap_Specification12"/>
      <sheetName val="Part_&amp;_Group_Specification12"/>
      <sheetName val="Reinf_Placement12"/>
      <sheetName val="Skiving_instructions12"/>
      <sheetName val="Marking_locations12"/>
      <sheetName val="Folding_Locations12"/>
      <sheetName val="Stitching_Over_View12"/>
      <sheetName val="stitching_instructions_12"/>
      <sheetName val="Computer_stitched12"/>
      <sheetName val="Upper_Molded_Component_Spec__12"/>
      <sheetName val="Upper_Molded_Component_Proc__12"/>
      <sheetName val="Upper_Measurement_Spec12"/>
      <sheetName val="PFC_Revice12"/>
      <sheetName val="Cutting_Die_(1)12"/>
      <sheetName val="Cutting_Die_(2)12"/>
      <sheetName val="Cutting_Die_(3)12"/>
      <sheetName val="Perf_Specification12"/>
      <sheetName val="Marking_Location12"/>
      <sheetName val="Marking_Locations_(2)12"/>
      <sheetName val="Skiving_Instruction_(2)12"/>
      <sheetName val="Spliting_12"/>
      <sheetName val="Reinf__Placement_(1)12"/>
      <sheetName val="Reinf__Placement_(2)12"/>
      <sheetName val="Stitching_Instructions_(1)12"/>
      <sheetName val="Stitching_Instructions_(2)12"/>
      <sheetName val="Stitching_Instructions_(3)12"/>
      <sheetName val="Computer_Stitching_12"/>
      <sheetName val="Upper_Molded_Component_Spec_12"/>
      <sheetName val="PHYLON_CSS12"/>
      <sheetName val="PHYLON_CSS_SCHEDULES12"/>
      <sheetName val="PHYLON_CSS_CONFIRMATION12"/>
      <sheetName val="Outsole_Color_12"/>
      <sheetName val="Outsole_Preform_Specification14"/>
      <sheetName val="Outsole_Pressing_Process12"/>
      <sheetName val="Outsole_Degreasing_Process_12"/>
      <sheetName val="Stock_Fiting_UV-Light_Proce_12"/>
      <sheetName val="Stock_Fiting_Process_12"/>
      <sheetName val="IY_06_0712"/>
      <sheetName val="Assembly_UV-Light_Process__12"/>
      <sheetName val="Assembly_Process_6,7_12"/>
      <sheetName val="Assembly_Process_6,712"/>
      <sheetName val="IY08_09_1012"/>
      <sheetName val="Assembly_Process_8,9,10_12"/>
      <sheetName val="Assembly_Process_8,9,10_(2_)12"/>
      <sheetName val="Back_Part_Moulding_(Soccer_TP12"/>
      <sheetName val="Ecosole_Instructions_12"/>
      <sheetName val="Sockliner_Instructions12"/>
      <sheetName val="Sock_Liner_Spec_12"/>
      <sheetName val="_(6,7)12"/>
      <sheetName val="Skiving_Instruction_(1)12"/>
      <sheetName val="Spliting_Instructions12"/>
      <sheetName val="Tapering_Instructions12"/>
      <sheetName val="Marking_Location_(1)12"/>
      <sheetName val="Marking_Location_(2)12"/>
      <sheetName val="Trim_&amp;_Edge-painting12"/>
      <sheetName val="Reinforcement_Placement12"/>
      <sheetName val="Folding_Location12"/>
      <sheetName val="Pre-Buffing_Specification12"/>
      <sheetName val="Stitching_Instructions_(4)12"/>
      <sheetName val="Upper_Laser_Process-_Spec_12"/>
      <sheetName val="Upper_Laser_Process-Spec_(2)_12"/>
      <sheetName val="Upper_Laser_Process-Spec__(3)12"/>
      <sheetName val="Sockliner__Process12"/>
      <sheetName val="Outsole_Color_Schedule12"/>
      <sheetName val="Outsole_Preform_Specification15"/>
      <sheetName val="Outsole_Pressing_Process_12"/>
      <sheetName val="PU_CSS_CONFIRMATION12"/>
      <sheetName val="PU_CSS_Schedules12"/>
      <sheetName val="PU_Midsole_Spec_I12"/>
      <sheetName val="Stock_Fitting_Process_(8)12"/>
      <sheetName val="Stock_Fitting_Process_12"/>
      <sheetName val="Stock_Fitting_Process12"/>
      <sheetName val="Stock_Fitting_Process_(2)12"/>
      <sheetName val="Stock_Fitting_Process_(3)12"/>
      <sheetName val="Stockfit_BPFC12"/>
      <sheetName val="Assembling_Process12"/>
      <sheetName val="Assembling_Process_(2)12"/>
      <sheetName val="Assembly_BPFC12"/>
      <sheetName val="Production_Checklist12"/>
      <sheetName val="Sockliner_Specification12"/>
      <sheetName val="Upper_Measurement_Spec_12"/>
      <sheetName val="索引_(1)12"/>
      <sheetName val="沖孔規格說明_(2)12"/>
      <sheetName val="_削薄處指示說明12"/>
      <sheetName val="_削薄處指示說明_(2)12"/>
      <sheetName val="_削薄處指示說明_(3)12"/>
      <sheetName val="_削薄處指示說明_(4)12"/>
      <sheetName val="_削薄處指示說明_(5)12"/>
      <sheetName val="劃線印刷指示說明_(2)12"/>
      <sheetName val="劃線印刷指示說明_(3)12"/>
      <sheetName val="折邊指示說明_12"/>
      <sheetName val="針車流程_(2)12"/>
      <sheetName val="針車流程_(3)12"/>
      <sheetName val="針車流程_(4)12"/>
      <sheetName val="針車流程_(5)12"/>
      <sheetName val="針車流程_(6)12"/>
      <sheetName val="_鞋面印刷作業流程12"/>
      <sheetName val="_鞋面高週波作業流程_(2)12"/>
      <sheetName val="__鞋墊作業流程12"/>
      <sheetName val="Cover_313845-102((259_)_(2)12"/>
      <sheetName val="Index_(1)12"/>
      <sheetName val="Logo_Specification_(2)12"/>
      <sheetName val="Screen_Printing_(4)12"/>
      <sheetName val="Upper_HF_Welding_Process(5)12"/>
      <sheetName val="Index_(3)12"/>
      <sheetName val="Bottom_Component_Process_Spec12"/>
      <sheetName val="Stock_Fitting_Process_(4)12"/>
      <sheetName val="Stock_Fitting_Process_(5)12"/>
      <sheetName val="Stockfit_BPFC_(2)12"/>
      <sheetName val="Assembling_Process_(3)12"/>
      <sheetName val="Assembly_BPFC_(2)12"/>
      <sheetName val="Sockliner_Sublimation_Process12"/>
      <sheetName val="Cutting_D)e_(1)12"/>
      <sheetName val="Cutting_D)e_(2)12"/>
      <sheetName val="Cutting_D)e_(3)12"/>
      <sheetName val="Stitching_Instructio_s_(3)12"/>
      <sheetName val="output_per_jam12"/>
      <sheetName val="data_Productivity12"/>
      <sheetName val="MLT_12"/>
      <sheetName val="daily_BEP12"/>
      <sheetName val="178049A_XLS12"/>
      <sheetName val="LB_CUTTING_KUROBE12"/>
      <sheetName val="Cutting(3)_3_1712"/>
      <sheetName val="Cutting(5)_3_1312"/>
      <sheetName val="Cutting(6)3_1712"/>
      <sheetName val="Molding_Piece_Schedule12"/>
      <sheetName val="Perf_Specification_(1)12"/>
      <sheetName val="Perf_Specification_(2)12"/>
      <sheetName val="Skiving_Instruction_(3)12"/>
      <sheetName val="Skiving_Instruction_(4)12"/>
      <sheetName val="Skiving_Instruction_(5)12"/>
      <sheetName val="Tapering_Instructions_3_1312"/>
      <sheetName val="Marking_Location_(3)12"/>
      <sheetName val="Triming_edge_Instructions12"/>
      <sheetName val="Reinforcement_Placement_(1)12"/>
      <sheetName val="Reinforcement_Placement_(2)12"/>
      <sheetName val="Reinforcement_Placement_(2)2_22"/>
      <sheetName val="Reinforcement_Placement_(3)12"/>
      <sheetName val="Computer_Stitching_Schedule12"/>
      <sheetName val="Stitching_Overview_Sketch12"/>
      <sheetName val="Stitching_Instructions_(5)12"/>
      <sheetName val="Stitching_Instructions_(6)12"/>
      <sheetName val="Stitching_Instructions_(6)_3_22"/>
      <sheetName val="Stitching_Instructions_(7)12"/>
      <sheetName val="Upper_Injected_Compon_Pro__(112"/>
      <sheetName val="Upper_Injected_Compon_Pro__(212"/>
      <sheetName val="Upper_HF__Printing_Welding(1)12"/>
      <sheetName val="Upper_HF_Printing_Welding(2)12"/>
      <sheetName val="Upper_HF_Welding_Process_(3)12"/>
      <sheetName val="Upper_HF_Welding_Process_(4)12"/>
      <sheetName val="Upper_HF_Printing_Welding_(5)12"/>
      <sheetName val="Upper_HF_Welding_Process_(6)12"/>
      <sheetName val="CMP_PHYLON_CSS_CONFIRMATION12"/>
      <sheetName val="Phylon_Midsole_Spec_12"/>
      <sheetName val="Stock_Fitting_Process(3)12"/>
      <sheetName val="Stock_Fitting_Process_(6)12"/>
      <sheetName val="Stock_Fitting_Process_(7)12"/>
      <sheetName val="Upper_Weight_Control12"/>
      <sheetName val="Blank_Form12"/>
      <sheetName val="Raw_Data_Sheet12"/>
      <sheetName val="Cover_11"/>
      <sheetName val="Sheet1_11"/>
      <sheetName val="Index_11"/>
      <sheetName val="Spec1_11"/>
      <sheetName val="Spec__22"/>
      <sheetName val="Spec__23"/>
      <sheetName val="Spec_12"/>
      <sheetName val="Spec_611"/>
      <sheetName val="Spec7_11"/>
      <sheetName val="Spec8_11"/>
      <sheetName val="cutting___11"/>
      <sheetName val="Punch_Specification__11"/>
      <sheetName val="Logo_Specification11"/>
      <sheetName val="Strap_Specification11"/>
      <sheetName val="Part_&amp;_Group_Specification11"/>
      <sheetName val="Reinf_Placement11"/>
      <sheetName val="Skiving_instructions11"/>
      <sheetName val="Marking_locations11"/>
      <sheetName val="Folding_Locations11"/>
      <sheetName val="Stitching_Over_View11"/>
      <sheetName val="stitching_instructions_11"/>
      <sheetName val="Computer_stitched11"/>
      <sheetName val="Upper_Molded_Component_Spec__11"/>
      <sheetName val="Upper_Molded_Component_Proc__11"/>
      <sheetName val="Upper_Measurement_Spec11"/>
      <sheetName val="PFC_Revice11"/>
      <sheetName val="Cutting_Die_(1)11"/>
      <sheetName val="Cutting_Die_(2)11"/>
      <sheetName val="Cutting_Die_(3)11"/>
      <sheetName val="Perf_Specification11"/>
      <sheetName val="Marking_Location11"/>
      <sheetName val="Marking_Locations_(2)11"/>
      <sheetName val="Skiving_Instruction_(2)11"/>
      <sheetName val="Spliting_11"/>
      <sheetName val="Reinf__Placement_(1)11"/>
      <sheetName val="Reinf__Placement_(2)11"/>
      <sheetName val="Stitching_Instructions_(1)11"/>
      <sheetName val="Stitching_Instructions_(2)11"/>
      <sheetName val="Stitching_Instructions_(3)11"/>
      <sheetName val="Computer_Stitching_11"/>
      <sheetName val="Upper_Molded_Component_Spec_11"/>
      <sheetName val="PHYLON_CSS11"/>
      <sheetName val="PHYLON_CSS_SCHEDULES11"/>
      <sheetName val="PHYLON_CSS_CONFIRMATION11"/>
      <sheetName val="Outsole_Color_11"/>
      <sheetName val="Outsole_Preform_Specification12"/>
      <sheetName val="Outsole_Pressing_Process11"/>
      <sheetName val="Outsole_Degreasing_Process_11"/>
      <sheetName val="Stock_Fiting_UV-Light_Proce_11"/>
      <sheetName val="Stock_Fiting_Process_11"/>
      <sheetName val="IY_06_0711"/>
      <sheetName val="Assembly_UV-Light_Process__11"/>
      <sheetName val="Assembly_Process_6,7_11"/>
      <sheetName val="Assembly_Process_6,711"/>
      <sheetName val="IY08_09_1011"/>
      <sheetName val="Assembly_Process_8,9,10_11"/>
      <sheetName val="Assembly_Process_8,9,10_(2_)11"/>
      <sheetName val="Back_Part_Moulding_(Soccer_TP11"/>
      <sheetName val="Ecosole_Instructions_11"/>
      <sheetName val="Sockliner_Instructions11"/>
      <sheetName val="Sock_Liner_Spec_11"/>
      <sheetName val="_(6,7)11"/>
      <sheetName val="Skiving_Instruction_(1)11"/>
      <sheetName val="Spliting_Instructions11"/>
      <sheetName val="Tapering_Instructions11"/>
      <sheetName val="Marking_Location_(1)11"/>
      <sheetName val="Marking_Location_(2)11"/>
      <sheetName val="Trim_&amp;_Edge-painting11"/>
      <sheetName val="Reinforcement_Placement11"/>
      <sheetName val="Folding_Location11"/>
      <sheetName val="Pre-Buffing_Specification11"/>
      <sheetName val="Stitching_Instructions_(4)11"/>
      <sheetName val="Upper_Laser_Process-_Spec_11"/>
      <sheetName val="Upper_Laser_Process-Spec_(2)_11"/>
      <sheetName val="Upper_Laser_Process-Spec__(3)11"/>
      <sheetName val="Sockliner__Process11"/>
      <sheetName val="Outsole_Color_Schedule11"/>
      <sheetName val="Outsole_Preform_Specification13"/>
      <sheetName val="Outsole_Pressing_Process_11"/>
      <sheetName val="PU_CSS_CONFIRMATION11"/>
      <sheetName val="PU_CSS_Schedules11"/>
      <sheetName val="PU_Midsole_Spec_I11"/>
      <sheetName val="Stock_Fitting_Process_(8)11"/>
      <sheetName val="Stock_Fitting_Process_11"/>
      <sheetName val="Stock_Fitting_Process11"/>
      <sheetName val="Stock_Fitting_Process_(2)11"/>
      <sheetName val="Stock_Fitting_Process_(3)11"/>
      <sheetName val="Stockfit_BPFC11"/>
      <sheetName val="Assembling_Process11"/>
      <sheetName val="Assembling_Process_(2)11"/>
      <sheetName val="Assembly_BPFC11"/>
      <sheetName val="Production_Checklist11"/>
      <sheetName val="Sockliner_Specification11"/>
      <sheetName val="Upper_Measurement_Spec_11"/>
      <sheetName val="索引_(1)11"/>
      <sheetName val="沖孔規格說明_(2)11"/>
      <sheetName val="_削薄處指示說明11"/>
      <sheetName val="_削薄處指示說明_(2)11"/>
      <sheetName val="_削薄處指示說明_(3)11"/>
      <sheetName val="_削薄處指示說明_(4)11"/>
      <sheetName val="_削薄處指示說明_(5)11"/>
      <sheetName val="劃線印刷指示說明_(2)11"/>
      <sheetName val="劃線印刷指示說明_(3)11"/>
      <sheetName val="折邊指示說明_11"/>
      <sheetName val="針車流程_(2)11"/>
      <sheetName val="針車流程_(3)11"/>
      <sheetName val="針車流程_(4)11"/>
      <sheetName val="針車流程_(5)11"/>
      <sheetName val="針車流程_(6)11"/>
      <sheetName val="_鞋面印刷作業流程11"/>
      <sheetName val="_鞋面高週波作業流程_(2)11"/>
      <sheetName val="__鞋墊作業流程11"/>
      <sheetName val="Cover_313845-102((259_)_(2)11"/>
      <sheetName val="Index_(1)11"/>
      <sheetName val="Logo_Specification_(2)11"/>
      <sheetName val="Screen_Printing_(4)11"/>
      <sheetName val="Upper_HF_Welding_Process(5)11"/>
      <sheetName val="Index_(3)11"/>
      <sheetName val="Bottom_Component_Process_Spec11"/>
      <sheetName val="Stock_Fitting_Process_(4)11"/>
      <sheetName val="Stock_Fitting_Process_(5)11"/>
      <sheetName val="Stockfit_BPFC_(2)11"/>
      <sheetName val="Assembling_Process_(3)11"/>
      <sheetName val="Assembly_BPFC_(2)11"/>
      <sheetName val="Sockliner_Sublimation_Process11"/>
      <sheetName val="Cutting_D)e_(1)11"/>
      <sheetName val="Cutting_D)e_(2)11"/>
      <sheetName val="Cutting_D)e_(3)11"/>
      <sheetName val="Stitching_Instructio_s_(3)11"/>
      <sheetName val="output_per_jam11"/>
      <sheetName val="data_Productivity11"/>
      <sheetName val="MLT_11"/>
      <sheetName val="daily_BEP11"/>
      <sheetName val="178049A_XLS11"/>
      <sheetName val="LB_CUTTING_KUROBE11"/>
      <sheetName val="Cutting(3)_3_1711"/>
      <sheetName val="Cutting(5)_3_1311"/>
      <sheetName val="Cutting(6)3_1711"/>
      <sheetName val="Molding_Piece_Schedule11"/>
      <sheetName val="Perf_Specification_(1)11"/>
      <sheetName val="Perf_Specification_(2)11"/>
      <sheetName val="Skiving_Instruction_(3)11"/>
      <sheetName val="Skiving_Instruction_(4)11"/>
      <sheetName val="Skiving_Instruction_(5)11"/>
      <sheetName val="Tapering_Instructions_3_1311"/>
      <sheetName val="Marking_Location_(3)11"/>
      <sheetName val="Triming_edge_Instructions11"/>
      <sheetName val="Reinforcement_Placement_(1)11"/>
      <sheetName val="Reinforcement_Placement_(2)11"/>
      <sheetName val="Reinforcement_Placement_(2)2_21"/>
      <sheetName val="Reinforcement_Placement_(3)11"/>
      <sheetName val="Computer_Stitching_Schedule11"/>
      <sheetName val="Stitching_Overview_Sketch11"/>
      <sheetName val="Stitching_Instructions_(5)11"/>
      <sheetName val="Stitching_Instructions_(6)11"/>
      <sheetName val="Stitching_Instructions_(6)_3_21"/>
      <sheetName val="Stitching_Instructions_(7)11"/>
      <sheetName val="Upper_Injected_Compon_Pro__(111"/>
      <sheetName val="Upper_Injected_Compon_Pro__(211"/>
      <sheetName val="Upper_HF__Printing_Welding(1)11"/>
      <sheetName val="Upper_HF_Printing_Welding(2)11"/>
      <sheetName val="Upper_HF_Welding_Process_(3)11"/>
      <sheetName val="Upper_HF_Welding_Process_(4)11"/>
      <sheetName val="Upper_HF_Printing_Welding_(5)11"/>
      <sheetName val="Upper_HF_Welding_Process_(6)11"/>
      <sheetName val="CMP_PHYLON_CSS_CONFIRMATION11"/>
      <sheetName val="Phylon_Midsole_Spec_11"/>
      <sheetName val="Stock_Fitting_Process(3)11"/>
      <sheetName val="Stock_Fitting_Process_(6)11"/>
      <sheetName val="Stock_Fitting_Process_(7)11"/>
      <sheetName val="Upper_Weight_Control11"/>
      <sheetName val="Blank_Form11"/>
      <sheetName val="Raw_Data_Sheet11"/>
      <sheetName val="Cover_13"/>
      <sheetName val="Sheet1_13"/>
      <sheetName val="Index_13"/>
      <sheetName val="Spec1_13"/>
      <sheetName val="Spec__26"/>
      <sheetName val="Spec__27"/>
      <sheetName val="Spec_14"/>
      <sheetName val="Spec_613"/>
      <sheetName val="Spec7_13"/>
      <sheetName val="Spec8_13"/>
      <sheetName val="cutting___13"/>
      <sheetName val="Punch_Specification__13"/>
      <sheetName val="Logo_Specification13"/>
      <sheetName val="Strap_Specification13"/>
      <sheetName val="Part_&amp;_Group_Specification13"/>
      <sheetName val="Reinf_Placement13"/>
      <sheetName val="Skiving_instructions13"/>
      <sheetName val="Marking_locations13"/>
      <sheetName val="Folding_Locations13"/>
      <sheetName val="Stitching_Over_View13"/>
      <sheetName val="stitching_instructions_13"/>
      <sheetName val="Computer_stitched13"/>
      <sheetName val="Upper_Molded_Component_Spec__13"/>
      <sheetName val="Upper_Molded_Component_Proc__13"/>
      <sheetName val="Upper_Measurement_Spec13"/>
      <sheetName val="PFC_Revice13"/>
      <sheetName val="Cutting_Die_(1)13"/>
      <sheetName val="Cutting_Die_(2)13"/>
      <sheetName val="Cutting_Die_(3)13"/>
      <sheetName val="Perf_Specification13"/>
      <sheetName val="Marking_Location13"/>
      <sheetName val="Marking_Locations_(2)13"/>
      <sheetName val="Skiving_Instruction_(2)13"/>
      <sheetName val="Spliting_13"/>
      <sheetName val="Reinf__Placement_(1)13"/>
      <sheetName val="Reinf__Placement_(2)13"/>
      <sheetName val="Stitching_Instructions_(1)13"/>
      <sheetName val="Stitching_Instructions_(2)13"/>
      <sheetName val="Stitching_Instructions_(3)13"/>
      <sheetName val="Computer_Stitching_13"/>
      <sheetName val="Upper_Molded_Component_Spec_13"/>
      <sheetName val="PHYLON_CSS13"/>
      <sheetName val="PHYLON_CSS_SCHEDULES13"/>
      <sheetName val="PHYLON_CSS_CONFIRMATION13"/>
      <sheetName val="Outsole_Color_13"/>
      <sheetName val="Outsole_Preform_Specification16"/>
      <sheetName val="Outsole_Pressing_Process13"/>
      <sheetName val="Outsole_Degreasing_Process_13"/>
      <sheetName val="Stock_Fiting_UV-Light_Proce_13"/>
      <sheetName val="Stock_Fiting_Process_13"/>
      <sheetName val="IY_06_0713"/>
      <sheetName val="Assembly_UV-Light_Process__13"/>
      <sheetName val="Assembly_Process_6,7_13"/>
      <sheetName val="Assembly_Process_6,713"/>
      <sheetName val="IY08_09_1013"/>
      <sheetName val="Assembly_Process_8,9,10_13"/>
      <sheetName val="Assembly_Process_8,9,10_(2_)13"/>
      <sheetName val="Back_Part_Moulding_(Soccer_TP13"/>
      <sheetName val="Ecosole_Instructions_13"/>
      <sheetName val="Sockliner_Instructions13"/>
      <sheetName val="Sock_Liner_Spec_13"/>
      <sheetName val="_(6,7)13"/>
      <sheetName val="Skiving_Instruction_(1)13"/>
      <sheetName val="Spliting_Instructions13"/>
      <sheetName val="Tapering_Instructions13"/>
      <sheetName val="Marking_Location_(1)13"/>
      <sheetName val="Marking_Location_(2)13"/>
      <sheetName val="Trim_&amp;_Edge-painting13"/>
      <sheetName val="Reinforcement_Placement13"/>
      <sheetName val="Folding_Location13"/>
      <sheetName val="Pre-Buffing_Specification13"/>
      <sheetName val="Stitching_Instructions_(4)13"/>
      <sheetName val="Upper_Laser_Process-_Spec_13"/>
      <sheetName val="Upper_Laser_Process-Spec_(2)_13"/>
      <sheetName val="Upper_Laser_Process-Spec__(3)13"/>
      <sheetName val="Sockliner__Process13"/>
      <sheetName val="Outsole_Color_Schedule13"/>
      <sheetName val="Outsole_Preform_Specification17"/>
      <sheetName val="Outsole_Pressing_Process_13"/>
      <sheetName val="PU_CSS_CONFIRMATION13"/>
      <sheetName val="PU_CSS_Schedules13"/>
      <sheetName val="PU_Midsole_Spec_I13"/>
      <sheetName val="Stock_Fitting_Process_(8)13"/>
      <sheetName val="Stock_Fitting_Process_13"/>
      <sheetName val="Stock_Fitting_Process13"/>
      <sheetName val="Stock_Fitting_Process_(2)13"/>
      <sheetName val="Stock_Fitting_Process_(3)13"/>
      <sheetName val="Stockfit_BPFC13"/>
      <sheetName val="Assembling_Process13"/>
      <sheetName val="Assembling_Process_(2)13"/>
      <sheetName val="Assembly_BPFC13"/>
      <sheetName val="Production_Checklist13"/>
      <sheetName val="Sockliner_Specification13"/>
      <sheetName val="Upper_Measurement_Spec_13"/>
      <sheetName val="索引_(1)13"/>
      <sheetName val="沖孔規格說明_(2)13"/>
      <sheetName val="_削薄處指示說明13"/>
      <sheetName val="_削薄處指示說明_(2)13"/>
      <sheetName val="_削薄處指示說明_(3)13"/>
      <sheetName val="_削薄處指示說明_(4)13"/>
      <sheetName val="_削薄處指示說明_(5)13"/>
      <sheetName val="劃線印刷指示說明_(2)13"/>
      <sheetName val="劃線印刷指示說明_(3)13"/>
      <sheetName val="折邊指示說明_13"/>
      <sheetName val="針車流程_(2)13"/>
      <sheetName val="針車流程_(3)13"/>
      <sheetName val="針車流程_(4)13"/>
      <sheetName val="針車流程_(5)13"/>
      <sheetName val="針車流程_(6)13"/>
      <sheetName val="_鞋面印刷作業流程13"/>
      <sheetName val="_鞋面高週波作業流程_(2)13"/>
      <sheetName val="__鞋墊作業流程13"/>
      <sheetName val="Cover_313845-102((259_)_(2)13"/>
      <sheetName val="Index_(1)13"/>
      <sheetName val="Logo_Specification_(2)13"/>
      <sheetName val="Screen_Printing_(4)13"/>
      <sheetName val="Upper_HF_Welding_Process(5)13"/>
      <sheetName val="Index_(3)13"/>
      <sheetName val="Bottom_Component_Process_Spec13"/>
      <sheetName val="Stock_Fitting_Process_(4)13"/>
      <sheetName val="Stock_Fitting_Process_(5)13"/>
      <sheetName val="Stockfit_BPFC_(2)13"/>
      <sheetName val="Assembling_Process_(3)13"/>
      <sheetName val="Assembly_BPFC_(2)13"/>
      <sheetName val="Sockliner_Sublimation_Process13"/>
      <sheetName val="Cutting_D)e_(1)13"/>
      <sheetName val="Cutting_D)e_(2)13"/>
      <sheetName val="Cutting_D)e_(3)13"/>
      <sheetName val="Stitching_Instructio_s_(3)13"/>
      <sheetName val="output_per_jam13"/>
      <sheetName val="data_Productivity13"/>
      <sheetName val="MLT_13"/>
      <sheetName val="daily_BEP13"/>
      <sheetName val="178049A_XLS13"/>
      <sheetName val="LB_CUTTING_KUROBE13"/>
      <sheetName val="Cutting(3)_3_1713"/>
      <sheetName val="Cutting(5)_3_1313"/>
      <sheetName val="Cutting(6)3_1713"/>
      <sheetName val="Molding_Piece_Schedule13"/>
      <sheetName val="Perf_Specification_(1)13"/>
      <sheetName val="Perf_Specification_(2)13"/>
      <sheetName val="Skiving_Instruction_(3)13"/>
      <sheetName val="Skiving_Instruction_(4)13"/>
      <sheetName val="Skiving_Instruction_(5)13"/>
      <sheetName val="Tapering_Instructions_3_1313"/>
      <sheetName val="Marking_Location_(3)13"/>
      <sheetName val="Triming_edge_Instructions13"/>
      <sheetName val="Reinforcement_Placement_(1)13"/>
      <sheetName val="Reinforcement_Placement_(2)13"/>
      <sheetName val="Reinforcement_Placement_(2)2_23"/>
      <sheetName val="Reinforcement_Placement_(3)13"/>
      <sheetName val="Computer_Stitching_Schedule13"/>
      <sheetName val="Stitching_Overview_Sketch13"/>
      <sheetName val="Stitching_Instructions_(5)13"/>
      <sheetName val="Stitching_Instructions_(6)13"/>
      <sheetName val="Stitching_Instructions_(6)_3_23"/>
      <sheetName val="Stitching_Instructions_(7)13"/>
      <sheetName val="Upper_Injected_Compon_Pro__(113"/>
      <sheetName val="Upper_Injected_Compon_Pro__(213"/>
      <sheetName val="Upper_HF__Printing_Welding(1)13"/>
      <sheetName val="Upper_HF_Printing_Welding(2)13"/>
      <sheetName val="Upper_HF_Welding_Process_(3)13"/>
      <sheetName val="Upper_HF_Welding_Process_(4)13"/>
      <sheetName val="Upper_HF_Printing_Welding_(5)13"/>
      <sheetName val="Upper_HF_Welding_Process_(6)13"/>
      <sheetName val="CMP_PHYLON_CSS_CONFIRMATION13"/>
      <sheetName val="Phylon_Midsole_Spec_13"/>
      <sheetName val="Stock_Fitting_Process(3)13"/>
      <sheetName val="Stock_Fitting_Process_(6)13"/>
      <sheetName val="Stock_Fitting_Process_(7)13"/>
      <sheetName val="Upper_Weight_Control13"/>
      <sheetName val="Blank_Form13"/>
      <sheetName val="Raw_Data_Sheet13"/>
      <sheetName val="Cover_15"/>
      <sheetName val="Sheet1_15"/>
      <sheetName val="Index_15"/>
      <sheetName val="Spec1_15"/>
      <sheetName val="Spec__30"/>
      <sheetName val="Spec__31"/>
      <sheetName val="Spec_16"/>
      <sheetName val="Spec_615"/>
      <sheetName val="Spec7_15"/>
      <sheetName val="Spec8_15"/>
      <sheetName val="cutting___15"/>
      <sheetName val="Punch_Specification__15"/>
      <sheetName val="Logo_Specification15"/>
      <sheetName val="Strap_Specification15"/>
      <sheetName val="Part_&amp;_Group_Specification15"/>
      <sheetName val="Reinf_Placement15"/>
      <sheetName val="Skiving_instructions15"/>
      <sheetName val="Marking_locations15"/>
      <sheetName val="Folding_Locations15"/>
      <sheetName val="Stitching_Over_View15"/>
      <sheetName val="stitching_instructions_15"/>
      <sheetName val="Computer_stitched15"/>
      <sheetName val="Upper_Molded_Component_Spec__15"/>
      <sheetName val="Upper_Molded_Component_Proc__15"/>
      <sheetName val="Upper_Measurement_Spec15"/>
      <sheetName val="PFC_Revice15"/>
      <sheetName val="Cutting_Die_(1)15"/>
      <sheetName val="Cutting_Die_(2)15"/>
      <sheetName val="Cutting_Die_(3)15"/>
      <sheetName val="Perf_Specification15"/>
      <sheetName val="Marking_Location15"/>
      <sheetName val="Marking_Locations_(2)15"/>
      <sheetName val="Skiving_Instruction_(2)15"/>
      <sheetName val="Spliting_15"/>
      <sheetName val="Reinf__Placement_(1)15"/>
      <sheetName val="Reinf__Placement_(2)15"/>
      <sheetName val="Stitching_Instructions_(1)15"/>
      <sheetName val="Stitching_Instructions_(2)15"/>
      <sheetName val="Stitching_Instructions_(3)15"/>
      <sheetName val="Computer_Stitching_15"/>
      <sheetName val="Upper_Molded_Component_Spec_15"/>
      <sheetName val="PHYLON_CSS15"/>
      <sheetName val="PHYLON_CSS_SCHEDULES15"/>
      <sheetName val="PHYLON_CSS_CONFIRMATION15"/>
      <sheetName val="Outsole_Color_15"/>
      <sheetName val="Outsole_Preform_Specification20"/>
      <sheetName val="Outsole_Pressing_Process15"/>
      <sheetName val="Outsole_Degreasing_Process_15"/>
      <sheetName val="Stock_Fiting_UV-Light_Proce_15"/>
      <sheetName val="Stock_Fiting_Process_15"/>
      <sheetName val="IY_06_0715"/>
      <sheetName val="Assembly_UV-Light_Process__15"/>
      <sheetName val="Assembly_Process_6,7_15"/>
      <sheetName val="Assembly_Process_6,715"/>
      <sheetName val="IY08_09_1015"/>
      <sheetName val="Assembly_Process_8,9,10_15"/>
      <sheetName val="Assembly_Process_8,9,10_(2_)15"/>
      <sheetName val="Back_Part_Moulding_(Soccer_TP15"/>
      <sheetName val="Ecosole_Instructions_15"/>
      <sheetName val="Sockliner_Instructions15"/>
      <sheetName val="Sock_Liner_Spec_15"/>
      <sheetName val="_(6,7)15"/>
      <sheetName val="Skiving_Instruction_(1)15"/>
      <sheetName val="Spliting_Instructions15"/>
      <sheetName val="Tapering_Instructions15"/>
      <sheetName val="Marking_Location_(1)15"/>
      <sheetName val="Marking_Location_(2)15"/>
      <sheetName val="Trim_&amp;_Edge-painting15"/>
      <sheetName val="Reinforcement_Placement15"/>
      <sheetName val="Folding_Location15"/>
      <sheetName val="Pre-Buffing_Specification15"/>
      <sheetName val="Stitching_Instructions_(4)15"/>
      <sheetName val="Upper_Laser_Process-_Spec_15"/>
      <sheetName val="Upper_Laser_Process-Spec_(2)_15"/>
      <sheetName val="Upper_Laser_Process-Spec__(3)15"/>
      <sheetName val="Sockliner__Process15"/>
      <sheetName val="Outsole_Color_Schedule15"/>
      <sheetName val="Outsole_Preform_Specification21"/>
      <sheetName val="Outsole_Pressing_Process_15"/>
      <sheetName val="PU_CSS_CONFIRMATION15"/>
      <sheetName val="PU_CSS_Schedules15"/>
      <sheetName val="PU_Midsole_Spec_I15"/>
      <sheetName val="Stock_Fitting_Process_(8)15"/>
      <sheetName val="Stock_Fitting_Process_15"/>
      <sheetName val="Stock_Fitting_Process15"/>
      <sheetName val="Stock_Fitting_Process_(2)15"/>
      <sheetName val="Stock_Fitting_Process_(3)15"/>
      <sheetName val="Stockfit_BPFC15"/>
      <sheetName val="Assembling_Process15"/>
      <sheetName val="Assembling_Process_(2)15"/>
      <sheetName val="Assembly_BPFC15"/>
      <sheetName val="Production_Checklist15"/>
      <sheetName val="Sockliner_Specification15"/>
      <sheetName val="Upper_Measurement_Spec_15"/>
      <sheetName val="索引_(1)15"/>
      <sheetName val="沖孔規格說明_(2)15"/>
      <sheetName val="_削薄處指示說明15"/>
      <sheetName val="_削薄處指示說明_(2)15"/>
      <sheetName val="_削薄處指示說明_(3)15"/>
      <sheetName val="_削薄處指示說明_(4)15"/>
      <sheetName val="_削薄處指示說明_(5)15"/>
      <sheetName val="劃線印刷指示說明_(2)15"/>
      <sheetName val="劃線印刷指示說明_(3)15"/>
      <sheetName val="折邊指示說明_15"/>
      <sheetName val="針車流程_(2)15"/>
      <sheetName val="針車流程_(3)15"/>
      <sheetName val="針車流程_(4)15"/>
      <sheetName val="針車流程_(5)15"/>
      <sheetName val="針車流程_(6)15"/>
      <sheetName val="_鞋面印刷作業流程15"/>
      <sheetName val="_鞋面高週波作業流程_(2)15"/>
      <sheetName val="__鞋墊作業流程15"/>
      <sheetName val="Cover_313845-102((259_)_(2)15"/>
      <sheetName val="Index_(1)15"/>
      <sheetName val="Logo_Specification_(2)15"/>
      <sheetName val="Screen_Printing_(4)15"/>
      <sheetName val="Upper_HF_Welding_Process(5)15"/>
      <sheetName val="Index_(3)15"/>
      <sheetName val="Bottom_Component_Process_Spec15"/>
      <sheetName val="Stock_Fitting_Process_(4)15"/>
      <sheetName val="Stock_Fitting_Process_(5)15"/>
      <sheetName val="Stockfit_BPFC_(2)15"/>
      <sheetName val="Assembling_Process_(3)15"/>
      <sheetName val="Assembly_BPFC_(2)15"/>
      <sheetName val="Sockliner_Sublimation_Process15"/>
      <sheetName val="Cutting_D)e_(1)15"/>
      <sheetName val="Cutting_D)e_(2)15"/>
      <sheetName val="Cutting_D)e_(3)15"/>
      <sheetName val="Stitching_Instructio_s_(3)15"/>
      <sheetName val="output_per_jam15"/>
      <sheetName val="data_Productivity15"/>
      <sheetName val="MLT_15"/>
      <sheetName val="daily_BEP15"/>
      <sheetName val="178049A_XLS15"/>
      <sheetName val="LB_CUTTING_KUROBE15"/>
      <sheetName val="Cutting(3)_3_1715"/>
      <sheetName val="Cutting(5)_3_1315"/>
      <sheetName val="Cutting(6)3_1715"/>
      <sheetName val="Molding_Piece_Schedule15"/>
      <sheetName val="Perf_Specification_(1)15"/>
      <sheetName val="Perf_Specification_(2)15"/>
      <sheetName val="Skiving_Instruction_(3)15"/>
      <sheetName val="Skiving_Instruction_(4)15"/>
      <sheetName val="Skiving_Instruction_(5)15"/>
      <sheetName val="Tapering_Instructions_3_1315"/>
      <sheetName val="Marking_Location_(3)15"/>
      <sheetName val="Triming_edge_Instructions15"/>
      <sheetName val="Reinforcement_Placement_(1)15"/>
      <sheetName val="Reinforcement_Placement_(2)15"/>
      <sheetName val="Reinforcement_Placement_(2)2_25"/>
      <sheetName val="Reinforcement_Placement_(3)15"/>
      <sheetName val="Computer_Stitching_Schedule15"/>
      <sheetName val="Stitching_Overview_Sketch15"/>
      <sheetName val="Stitching_Instructions_(5)15"/>
      <sheetName val="Stitching_Instructions_(6)15"/>
      <sheetName val="Stitching_Instructions_(6)_3_25"/>
      <sheetName val="Stitching_Instructions_(7)15"/>
      <sheetName val="Upper_Injected_Compon_Pro__(115"/>
      <sheetName val="Upper_Injected_Compon_Pro__(215"/>
      <sheetName val="Upper_HF__Printing_Welding(1)15"/>
      <sheetName val="Upper_HF_Printing_Welding(2)15"/>
      <sheetName val="Upper_HF_Welding_Process_(3)15"/>
      <sheetName val="Upper_HF_Welding_Process_(4)15"/>
      <sheetName val="Upper_HF_Printing_Welding_(5)15"/>
      <sheetName val="Upper_HF_Welding_Process_(6)15"/>
      <sheetName val="CMP_PHYLON_CSS_CONFIRMATION15"/>
      <sheetName val="Phylon_Midsole_Spec_15"/>
      <sheetName val="Stock_Fitting_Process(3)15"/>
      <sheetName val="Stock_Fitting_Process_(6)15"/>
      <sheetName val="Stock_Fitting_Process_(7)15"/>
      <sheetName val="Upper_Weight_Control15"/>
      <sheetName val="Blank_Form15"/>
      <sheetName val="Raw_Data_Sheet15"/>
      <sheetName val="Cover_14"/>
      <sheetName val="Sheet1_14"/>
      <sheetName val="Index_14"/>
      <sheetName val="Spec1_14"/>
      <sheetName val="Spec__28"/>
      <sheetName val="Spec__29"/>
      <sheetName val="Spec_15"/>
      <sheetName val="Spec_614"/>
      <sheetName val="Spec7_14"/>
      <sheetName val="Spec8_14"/>
      <sheetName val="cutting___14"/>
      <sheetName val="Punch_Specification__14"/>
      <sheetName val="Logo_Specification14"/>
      <sheetName val="Strap_Specification14"/>
      <sheetName val="Part_&amp;_Group_Specification14"/>
      <sheetName val="Reinf_Placement14"/>
      <sheetName val="Skiving_instructions14"/>
      <sheetName val="Marking_locations14"/>
      <sheetName val="Folding_Locations14"/>
      <sheetName val="Stitching_Over_View14"/>
      <sheetName val="stitching_instructions_14"/>
      <sheetName val="Computer_stitched14"/>
      <sheetName val="Upper_Molded_Component_Spec__14"/>
      <sheetName val="Upper_Molded_Component_Proc__14"/>
      <sheetName val="Upper_Measurement_Spec14"/>
      <sheetName val="PFC_Revice14"/>
      <sheetName val="Cutting_Die_(1)14"/>
      <sheetName val="Cutting_Die_(2)14"/>
      <sheetName val="Cutting_Die_(3)14"/>
      <sheetName val="Perf_Specification14"/>
      <sheetName val="Marking_Location14"/>
      <sheetName val="Marking_Locations_(2)14"/>
      <sheetName val="Skiving_Instruction_(2)14"/>
      <sheetName val="Spliting_14"/>
      <sheetName val="Reinf__Placement_(1)14"/>
      <sheetName val="Reinf__Placement_(2)14"/>
      <sheetName val="Stitching_Instructions_(1)14"/>
      <sheetName val="Stitching_Instructions_(2)14"/>
      <sheetName val="Stitching_Instructions_(3)14"/>
      <sheetName val="Computer_Stitching_14"/>
      <sheetName val="Upper_Molded_Component_Spec_14"/>
      <sheetName val="PHYLON_CSS14"/>
      <sheetName val="PHYLON_CSS_SCHEDULES14"/>
      <sheetName val="PHYLON_CSS_CONFIRMATION14"/>
      <sheetName val="Outsole_Color_14"/>
      <sheetName val="Outsole_Preform_Specification18"/>
      <sheetName val="Outsole_Pressing_Process14"/>
      <sheetName val="Outsole_Degreasing_Process_14"/>
      <sheetName val="Stock_Fiting_UV-Light_Proce_14"/>
      <sheetName val="Stock_Fiting_Process_14"/>
      <sheetName val="IY_06_0714"/>
      <sheetName val="Assembly_UV-Light_Process__14"/>
      <sheetName val="Assembly_Process_6,7_14"/>
      <sheetName val="Assembly_Process_6,714"/>
      <sheetName val="IY08_09_1014"/>
      <sheetName val="Assembly_Process_8,9,10_14"/>
      <sheetName val="Assembly_Process_8,9,10_(2_)14"/>
      <sheetName val="Back_Part_Moulding_(Soccer_TP14"/>
      <sheetName val="Ecosole_Instructions_14"/>
      <sheetName val="Sockliner_Instructions14"/>
      <sheetName val="Sock_Liner_Spec_14"/>
      <sheetName val="_(6,7)14"/>
      <sheetName val="Skiving_Instruction_(1)14"/>
      <sheetName val="Spliting_Instructions14"/>
      <sheetName val="Tapering_Instructions14"/>
      <sheetName val="Marking_Location_(1)14"/>
      <sheetName val="Marking_Location_(2)14"/>
      <sheetName val="Trim_&amp;_Edge-painting14"/>
      <sheetName val="Reinforcement_Placement14"/>
      <sheetName val="Folding_Location14"/>
      <sheetName val="Pre-Buffing_Specification14"/>
      <sheetName val="Stitching_Instructions_(4)14"/>
      <sheetName val="Upper_Laser_Process-_Spec_14"/>
      <sheetName val="Upper_Laser_Process-Spec_(2)_14"/>
      <sheetName val="Upper_Laser_Process-Spec__(3)14"/>
      <sheetName val="Sockliner__Process14"/>
      <sheetName val="Outsole_Color_Schedule14"/>
      <sheetName val="Outsole_Preform_Specification19"/>
      <sheetName val="Outsole_Pressing_Process_14"/>
      <sheetName val="PU_CSS_CONFIRMATION14"/>
      <sheetName val="PU_CSS_Schedules14"/>
      <sheetName val="PU_Midsole_Spec_I14"/>
      <sheetName val="Stock_Fitting_Process_(8)14"/>
      <sheetName val="Stock_Fitting_Process_14"/>
      <sheetName val="Stock_Fitting_Process14"/>
      <sheetName val="Stock_Fitting_Process_(2)14"/>
      <sheetName val="Stock_Fitting_Process_(3)14"/>
      <sheetName val="Stockfit_BPFC14"/>
      <sheetName val="Assembling_Process14"/>
      <sheetName val="Assembling_Process_(2)14"/>
      <sheetName val="Assembly_BPFC14"/>
      <sheetName val="Production_Checklist14"/>
      <sheetName val="Sockliner_Specification14"/>
      <sheetName val="Upper_Measurement_Spec_14"/>
      <sheetName val="索引_(1)14"/>
      <sheetName val="沖孔規格說明_(2)14"/>
      <sheetName val="_削薄處指示說明14"/>
      <sheetName val="_削薄處指示說明_(2)14"/>
      <sheetName val="_削薄處指示說明_(3)14"/>
      <sheetName val="_削薄處指示說明_(4)14"/>
      <sheetName val="_削薄處指示說明_(5)14"/>
      <sheetName val="劃線印刷指示說明_(2)14"/>
      <sheetName val="劃線印刷指示說明_(3)14"/>
      <sheetName val="折邊指示說明_14"/>
      <sheetName val="針車流程_(2)14"/>
      <sheetName val="針車流程_(3)14"/>
      <sheetName val="針車流程_(4)14"/>
      <sheetName val="針車流程_(5)14"/>
      <sheetName val="針車流程_(6)14"/>
      <sheetName val="_鞋面印刷作業流程14"/>
      <sheetName val="_鞋面高週波作業流程_(2)14"/>
      <sheetName val="__鞋墊作業流程14"/>
      <sheetName val="Cover_313845-102((259_)_(2)14"/>
      <sheetName val="Index_(1)14"/>
      <sheetName val="Logo_Specification_(2)14"/>
      <sheetName val="Screen_Printing_(4)14"/>
      <sheetName val="Upper_HF_Welding_Process(5)14"/>
      <sheetName val="Index_(3)14"/>
      <sheetName val="Bottom_Component_Process_Spec14"/>
      <sheetName val="Stock_Fitting_Process_(4)14"/>
      <sheetName val="Stock_Fitting_Process_(5)14"/>
      <sheetName val="Stockfit_BPFC_(2)14"/>
      <sheetName val="Assembling_Process_(3)14"/>
      <sheetName val="Assembly_BPFC_(2)14"/>
      <sheetName val="Sockliner_Sublimation_Process14"/>
      <sheetName val="Cutting_D)e_(1)14"/>
      <sheetName val="Cutting_D)e_(2)14"/>
      <sheetName val="Cutting_D)e_(3)14"/>
      <sheetName val="Stitching_Instructio_s_(3)14"/>
      <sheetName val="output_per_jam14"/>
      <sheetName val="data_Productivity14"/>
      <sheetName val="MLT_14"/>
      <sheetName val="daily_BEP14"/>
      <sheetName val="178049A_XLS14"/>
      <sheetName val="LB_CUTTING_KUROBE14"/>
      <sheetName val="Cutting(3)_3_1714"/>
      <sheetName val="Cutting(5)_3_1314"/>
      <sheetName val="Cutting(6)3_1714"/>
      <sheetName val="Molding_Piece_Schedule14"/>
      <sheetName val="Perf_Specification_(1)14"/>
      <sheetName val="Perf_Specification_(2)14"/>
      <sheetName val="Skiving_Instruction_(3)14"/>
      <sheetName val="Skiving_Instruction_(4)14"/>
      <sheetName val="Skiving_Instruction_(5)14"/>
      <sheetName val="Tapering_Instructions_3_1314"/>
      <sheetName val="Marking_Location_(3)14"/>
      <sheetName val="Triming_edge_Instructions14"/>
      <sheetName val="Reinforcement_Placement_(1)14"/>
      <sheetName val="Reinforcement_Placement_(2)14"/>
      <sheetName val="Reinforcement_Placement_(2)2_24"/>
      <sheetName val="Reinforcement_Placement_(3)14"/>
      <sheetName val="Computer_Stitching_Schedule14"/>
      <sheetName val="Stitching_Overview_Sketch14"/>
      <sheetName val="Stitching_Instructions_(5)14"/>
      <sheetName val="Stitching_Instructions_(6)14"/>
      <sheetName val="Stitching_Instructions_(6)_3_24"/>
      <sheetName val="Stitching_Instructions_(7)14"/>
      <sheetName val="Upper_Injected_Compon_Pro__(114"/>
      <sheetName val="Upper_Injected_Compon_Pro__(214"/>
      <sheetName val="Upper_HF__Printing_Welding(1)14"/>
      <sheetName val="Upper_HF_Printing_Welding(2)14"/>
      <sheetName val="Upper_HF_Welding_Process_(3)14"/>
      <sheetName val="Upper_HF_Welding_Process_(4)14"/>
      <sheetName val="Upper_HF_Printing_Welding_(5)14"/>
      <sheetName val="Upper_HF_Welding_Process_(6)14"/>
      <sheetName val="CMP_PHYLON_CSS_CONFIRMATION14"/>
      <sheetName val="Phylon_Midsole_Spec_14"/>
      <sheetName val="Stock_Fitting_Process(3)14"/>
      <sheetName val="Stock_Fitting_Process_(6)14"/>
      <sheetName val="Stock_Fitting_Process_(7)14"/>
      <sheetName val="Upper_Weight_Control14"/>
      <sheetName val="Blank_Form14"/>
      <sheetName val="Raw_Data_Sheet14"/>
      <sheetName val="Cover_16"/>
      <sheetName val="Sheet1_16"/>
      <sheetName val="Index_16"/>
      <sheetName val="Spec1_16"/>
      <sheetName val="Spec__32"/>
      <sheetName val="Spec__33"/>
      <sheetName val="Spec_17"/>
      <sheetName val="Spec_616"/>
      <sheetName val="Spec7_16"/>
      <sheetName val="Spec8_16"/>
      <sheetName val="cutting___16"/>
      <sheetName val="Punch_Specification__16"/>
      <sheetName val="Logo_Specification16"/>
      <sheetName val="Strap_Specification16"/>
      <sheetName val="Part_&amp;_Group_Specification16"/>
      <sheetName val="Reinf_Placement16"/>
      <sheetName val="Skiving_instructions16"/>
      <sheetName val="Marking_locations16"/>
      <sheetName val="Folding_Locations16"/>
      <sheetName val="Stitching_Over_View16"/>
      <sheetName val="stitching_instructions_16"/>
      <sheetName val="Computer_stitched16"/>
      <sheetName val="Upper_Molded_Component_Spec__16"/>
      <sheetName val="Upper_Molded_Component_Proc__16"/>
      <sheetName val="Upper_Measurement_Spec16"/>
      <sheetName val="PFC_Revice16"/>
      <sheetName val="Cutting_Die_(1)16"/>
      <sheetName val="Cutting_Die_(2)16"/>
      <sheetName val="Cutting_Die_(3)16"/>
      <sheetName val="Perf_Specification16"/>
      <sheetName val="Marking_Location16"/>
      <sheetName val="Marking_Locations_(2)16"/>
      <sheetName val="Skiving_Instruction_(2)16"/>
      <sheetName val="Spliting_16"/>
      <sheetName val="Reinf__Placement_(1)16"/>
      <sheetName val="Reinf__Placement_(2)16"/>
      <sheetName val="Stitching_Instructions_(1)16"/>
      <sheetName val="Stitching_Instructions_(2)16"/>
      <sheetName val="Stitching_Instructions_(3)16"/>
      <sheetName val="Computer_Stitching_16"/>
      <sheetName val="Upper_Molded_Component_Spec_16"/>
      <sheetName val="PHYLON_CSS16"/>
      <sheetName val="PHYLON_CSS_SCHEDULES16"/>
      <sheetName val="PHYLON_CSS_CONFIRMATION16"/>
      <sheetName val="Outsole_Color_16"/>
      <sheetName val="Outsole_Preform_Specification22"/>
      <sheetName val="Outsole_Pressing_Process16"/>
      <sheetName val="Outsole_Degreasing_Process_16"/>
      <sheetName val="Stock_Fiting_UV-Light_Proce_16"/>
      <sheetName val="Stock_Fiting_Process_16"/>
      <sheetName val="IY_06_0716"/>
      <sheetName val="Assembly_UV-Light_Process__16"/>
      <sheetName val="Assembly_Process_6,7_16"/>
      <sheetName val="Assembly_Process_6,716"/>
      <sheetName val="IY08_09_1016"/>
      <sheetName val="Assembly_Process_8,9,10_16"/>
      <sheetName val="Assembly_Process_8,9,10_(2_)16"/>
      <sheetName val="Back_Part_Moulding_(Soccer_TP16"/>
      <sheetName val="Ecosole_Instructions_16"/>
      <sheetName val="Sockliner_Instructions16"/>
      <sheetName val="Sock_Liner_Spec_16"/>
      <sheetName val="_(6,7)16"/>
      <sheetName val="Skiving_Instruction_(1)16"/>
      <sheetName val="Spliting_Instructions16"/>
      <sheetName val="Tapering_Instructions16"/>
      <sheetName val="Marking_Location_(1)16"/>
      <sheetName val="Marking_Location_(2)16"/>
      <sheetName val="Trim_&amp;_Edge-painting16"/>
      <sheetName val="Reinforcement_Placement16"/>
      <sheetName val="Folding_Location16"/>
      <sheetName val="Pre-Buffing_Specification16"/>
      <sheetName val="Stitching_Instructions_(4)16"/>
      <sheetName val="Upper_Laser_Process-_Spec_16"/>
      <sheetName val="Upper_Laser_Process-Spec_(2)_16"/>
      <sheetName val="Upper_Laser_Process-Spec__(3)16"/>
      <sheetName val="Sockliner__Process16"/>
      <sheetName val="Outsole_Color_Schedule16"/>
      <sheetName val="Outsole_Preform_Specification23"/>
      <sheetName val="Outsole_Pressing_Process_16"/>
      <sheetName val="PU_CSS_CONFIRMATION16"/>
      <sheetName val="PU_CSS_Schedules16"/>
      <sheetName val="PU_Midsole_Spec_I16"/>
      <sheetName val="Stock_Fitting_Process_(8)16"/>
      <sheetName val="Stock_Fitting_Process_16"/>
      <sheetName val="Stock_Fitting_Process16"/>
      <sheetName val="Stock_Fitting_Process_(2)16"/>
      <sheetName val="Stock_Fitting_Process_(3)16"/>
      <sheetName val="Stockfit_BPFC16"/>
      <sheetName val="Assembling_Process16"/>
      <sheetName val="Assembling_Process_(2)16"/>
      <sheetName val="Assembly_BPFC16"/>
      <sheetName val="Production_Checklist16"/>
      <sheetName val="Sockliner_Specification16"/>
      <sheetName val="Upper_Measurement_Spec_16"/>
      <sheetName val="索引_(1)16"/>
      <sheetName val="沖孔規格說明_(2)16"/>
      <sheetName val="_削薄處指示說明16"/>
      <sheetName val="_削薄處指示說明_(2)16"/>
      <sheetName val="_削薄處指示說明_(3)16"/>
      <sheetName val="_削薄處指示說明_(4)16"/>
      <sheetName val="_削薄處指示說明_(5)16"/>
      <sheetName val="劃線印刷指示說明_(2)16"/>
      <sheetName val="劃線印刷指示說明_(3)16"/>
      <sheetName val="折邊指示說明_16"/>
      <sheetName val="針車流程_(2)16"/>
      <sheetName val="針車流程_(3)16"/>
      <sheetName val="針車流程_(4)16"/>
      <sheetName val="針車流程_(5)16"/>
      <sheetName val="針車流程_(6)16"/>
      <sheetName val="_鞋面印刷作業流程16"/>
      <sheetName val="_鞋面高週波作業流程_(2)16"/>
      <sheetName val="__鞋墊作業流程16"/>
      <sheetName val="Cover_313845-102((259_)_(2)16"/>
      <sheetName val="Index_(1)16"/>
      <sheetName val="Logo_Specification_(2)16"/>
      <sheetName val="Screen_Printing_(4)16"/>
      <sheetName val="Upper_HF_Welding_Process(5)16"/>
      <sheetName val="Index_(3)16"/>
      <sheetName val="Bottom_Component_Process_Spec16"/>
      <sheetName val="Stock_Fitting_Process_(4)16"/>
      <sheetName val="Stock_Fitting_Process_(5)16"/>
      <sheetName val="Stockfit_BPFC_(2)16"/>
      <sheetName val="Assembling_Process_(3)16"/>
      <sheetName val="Assembly_BPFC_(2)16"/>
      <sheetName val="Sockliner_Sublimation_Process16"/>
      <sheetName val="Cutting_D)e_(1)16"/>
      <sheetName val="Cutting_D)e_(2)16"/>
      <sheetName val="Cutting_D)e_(3)16"/>
      <sheetName val="Stitching_Instructio_s_(3)16"/>
      <sheetName val="output_per_jam16"/>
      <sheetName val="data_Productivity16"/>
      <sheetName val="MLT_16"/>
      <sheetName val="daily_BEP16"/>
      <sheetName val="178049A_XLS16"/>
      <sheetName val="LB_CUTTING_KUROBE16"/>
      <sheetName val="Cutting(3)_3_1716"/>
      <sheetName val="Cutting(5)_3_1316"/>
      <sheetName val="Cutting(6)3_1716"/>
      <sheetName val="Molding_Piece_Schedule16"/>
      <sheetName val="Perf_Specification_(1)16"/>
      <sheetName val="Perf_Specification_(2)16"/>
      <sheetName val="Skiving_Instruction_(3)16"/>
      <sheetName val="Skiving_Instruction_(4)16"/>
      <sheetName val="Skiving_Instruction_(5)16"/>
      <sheetName val="Tapering_Instructions_3_1316"/>
      <sheetName val="Marking_Location_(3)16"/>
      <sheetName val="Triming_edge_Instructions16"/>
      <sheetName val="Reinforcement_Placement_(1)16"/>
      <sheetName val="Reinforcement_Placement_(2)16"/>
      <sheetName val="Reinforcement_Placement_(2)2_26"/>
      <sheetName val="Reinforcement_Placement_(3)16"/>
      <sheetName val="Computer_Stitching_Schedule16"/>
      <sheetName val="Stitching_Overview_Sketch16"/>
      <sheetName val="Stitching_Instructions_(5)16"/>
      <sheetName val="Stitching_Instructions_(6)16"/>
      <sheetName val="Stitching_Instructions_(6)_3_26"/>
      <sheetName val="Stitching_Instructions_(7)16"/>
      <sheetName val="Upper_Injected_Compon_Pro__(116"/>
      <sheetName val="Upper_Injected_Compon_Pro__(216"/>
      <sheetName val="Upper_HF__Printing_Welding(1)16"/>
      <sheetName val="Upper_HF_Printing_Welding(2)16"/>
      <sheetName val="Upper_HF_Welding_Process_(3)16"/>
      <sheetName val="Upper_HF_Welding_Process_(4)16"/>
      <sheetName val="Upper_HF_Printing_Welding_(5)16"/>
      <sheetName val="Upper_HF_Welding_Process_(6)16"/>
      <sheetName val="CMP_PHYLON_CSS_CONFIRMATION16"/>
      <sheetName val="Phylon_Midsole_Spec_16"/>
      <sheetName val="Stock_Fitting_Process(3)16"/>
      <sheetName val="Stock_Fitting_Process_(6)16"/>
      <sheetName val="Stock_Fitting_Process_(7)16"/>
      <sheetName val="Upper_Weight_Control16"/>
      <sheetName val="Blank_Form16"/>
      <sheetName val="Raw_Data_Sheet16"/>
      <sheetName val="Cover_17"/>
      <sheetName val="Sheet1_17"/>
      <sheetName val="Index_17"/>
      <sheetName val="Spec1_17"/>
      <sheetName val="Spec__34"/>
      <sheetName val="Spec__35"/>
      <sheetName val="Spec_18"/>
      <sheetName val="Spec_617"/>
      <sheetName val="Spec7_17"/>
      <sheetName val="Spec8_17"/>
      <sheetName val="cutting___17"/>
      <sheetName val="Punch_Specification__17"/>
      <sheetName val="Logo_Specification17"/>
      <sheetName val="Strap_Specification17"/>
      <sheetName val="Part_&amp;_Group_Specification17"/>
      <sheetName val="Reinf_Placement17"/>
      <sheetName val="Skiving_instructions17"/>
      <sheetName val="Marking_locations17"/>
      <sheetName val="Folding_Locations17"/>
      <sheetName val="Stitching_Over_View17"/>
      <sheetName val="stitching_instructions_17"/>
      <sheetName val="Computer_stitched17"/>
      <sheetName val="Upper_Molded_Component_Spec__17"/>
      <sheetName val="Upper_Molded_Component_Proc__17"/>
      <sheetName val="Upper_Measurement_Spec17"/>
      <sheetName val="PFC_Revice17"/>
      <sheetName val="Cutting_Die_(1)17"/>
      <sheetName val="Cutting_Die_(2)17"/>
      <sheetName val="Cutting_Die_(3)17"/>
      <sheetName val="Perf_Specification17"/>
      <sheetName val="Marking_Location17"/>
      <sheetName val="Marking_Locations_(2)17"/>
      <sheetName val="Skiving_Instruction_(2)17"/>
      <sheetName val="Spliting_17"/>
      <sheetName val="Reinf__Placement_(1)17"/>
      <sheetName val="Reinf__Placement_(2)17"/>
      <sheetName val="Stitching_Instructions_(1)17"/>
      <sheetName val="Stitching_Instructions_(2)17"/>
      <sheetName val="Stitching_Instructions_(3)17"/>
      <sheetName val="Computer_Stitching_17"/>
      <sheetName val="Upper_Molded_Component_Spec_17"/>
      <sheetName val="PHYLON_CSS17"/>
      <sheetName val="PHYLON_CSS_SCHEDULES17"/>
      <sheetName val="PHYLON_CSS_CONFIRMATION17"/>
      <sheetName val="Outsole_Color_17"/>
      <sheetName val="Outsole_Preform_Specification24"/>
      <sheetName val="Outsole_Pressing_Process17"/>
      <sheetName val="Outsole_Degreasing_Process_17"/>
      <sheetName val="Stock_Fiting_UV-Light_Proce_17"/>
      <sheetName val="Stock_Fiting_Process_17"/>
      <sheetName val="IY_06_0717"/>
      <sheetName val="Assembly_UV-Light_Process__17"/>
      <sheetName val="Assembly_Process_6,7_17"/>
      <sheetName val="Assembly_Process_6,717"/>
      <sheetName val="IY08_09_1017"/>
      <sheetName val="Assembly_Process_8,9,10_17"/>
      <sheetName val="Assembly_Process_8,9,10_(2_)17"/>
      <sheetName val="Back_Part_Moulding_(Soccer_TP17"/>
      <sheetName val="Ecosole_Instructions_17"/>
      <sheetName val="Sockliner_Instructions17"/>
      <sheetName val="Sock_Liner_Spec_17"/>
      <sheetName val="_(6,7)17"/>
      <sheetName val="Skiving_Instruction_(1)17"/>
      <sheetName val="Spliting_Instructions17"/>
      <sheetName val="Tapering_Instructions17"/>
      <sheetName val="Marking_Location_(1)17"/>
      <sheetName val="Marking_Location_(2)17"/>
      <sheetName val="Trim_&amp;_Edge-painting17"/>
      <sheetName val="Reinforcement_Placement17"/>
      <sheetName val="Folding_Location17"/>
      <sheetName val="Pre-Buffing_Specification17"/>
      <sheetName val="Stitching_Instructions_(4)17"/>
      <sheetName val="Upper_Laser_Process-_Spec_17"/>
      <sheetName val="Upper_Laser_Process-Spec_(2)_17"/>
      <sheetName val="Upper_Laser_Process-Spec__(3)17"/>
      <sheetName val="Sockliner__Process17"/>
      <sheetName val="Outsole_Color_Schedule17"/>
      <sheetName val="Outsole_Preform_Specification25"/>
      <sheetName val="Outsole_Pressing_Process_17"/>
      <sheetName val="PU_CSS_CONFIRMATION17"/>
      <sheetName val="PU_CSS_Schedules17"/>
      <sheetName val="PU_Midsole_Spec_I17"/>
      <sheetName val="Stock_Fitting_Process_(8)17"/>
      <sheetName val="Stock_Fitting_Process_17"/>
      <sheetName val="Stock_Fitting_Process17"/>
      <sheetName val="Stock_Fitting_Process_(2)17"/>
      <sheetName val="Stock_Fitting_Process_(3)17"/>
      <sheetName val="Stockfit_BPFC17"/>
      <sheetName val="Assembling_Process17"/>
      <sheetName val="Assembling_Process_(2)17"/>
      <sheetName val="Assembly_BPFC17"/>
      <sheetName val="Production_Checklist17"/>
      <sheetName val="Sockliner_Specification17"/>
      <sheetName val="Upper_Measurement_Spec_17"/>
      <sheetName val="索引_(1)17"/>
      <sheetName val="沖孔規格說明_(2)17"/>
      <sheetName val="_削薄處指示說明17"/>
      <sheetName val="_削薄處指示說明_(2)17"/>
      <sheetName val="_削薄處指示說明_(3)17"/>
      <sheetName val="_削薄處指示說明_(4)17"/>
      <sheetName val="_削薄處指示說明_(5)17"/>
      <sheetName val="劃線印刷指示說明_(2)17"/>
      <sheetName val="劃線印刷指示說明_(3)17"/>
      <sheetName val="折邊指示說明_17"/>
      <sheetName val="針車流程_(2)17"/>
      <sheetName val="針車流程_(3)17"/>
      <sheetName val="針車流程_(4)17"/>
      <sheetName val="針車流程_(5)17"/>
      <sheetName val="針車流程_(6)17"/>
      <sheetName val="_鞋面印刷作業流程17"/>
      <sheetName val="_鞋面高週波作業流程_(2)17"/>
      <sheetName val="__鞋墊作業流程17"/>
      <sheetName val="Cover_313845-102((259_)_(2)17"/>
      <sheetName val="Index_(1)17"/>
      <sheetName val="Logo_Specification_(2)17"/>
      <sheetName val="Screen_Printing_(4)17"/>
      <sheetName val="Upper_HF_Welding_Process(5)17"/>
      <sheetName val="Index_(3)17"/>
      <sheetName val="Bottom_Component_Process_Spec17"/>
      <sheetName val="Stock_Fitting_Process_(4)17"/>
      <sheetName val="Stock_Fitting_Process_(5)17"/>
      <sheetName val="Stockfit_BPFC_(2)17"/>
      <sheetName val="Assembling_Process_(3)17"/>
      <sheetName val="Assembly_BPFC_(2)17"/>
      <sheetName val="Sockliner_Sublimation_Process17"/>
      <sheetName val="Cutting_D)e_(1)17"/>
      <sheetName val="Cutting_D)e_(2)17"/>
      <sheetName val="Cutting_D)e_(3)17"/>
      <sheetName val="Stitching_Instructio_s_(3)17"/>
      <sheetName val="output_per_jam17"/>
      <sheetName val="data_Productivity17"/>
      <sheetName val="MLT_17"/>
      <sheetName val="daily_BEP17"/>
      <sheetName val="178049A_XLS17"/>
      <sheetName val="LB_CUTTING_KUROBE17"/>
      <sheetName val="Cutting(3)_3_1717"/>
      <sheetName val="Cutting(5)_3_1317"/>
      <sheetName val="Cutting(6)3_1717"/>
      <sheetName val="Molding_Piece_Schedule17"/>
      <sheetName val="Perf_Specification_(1)17"/>
      <sheetName val="Perf_Specification_(2)17"/>
      <sheetName val="Skiving_Instruction_(3)17"/>
      <sheetName val="Skiving_Instruction_(4)17"/>
      <sheetName val="Skiving_Instruction_(5)17"/>
      <sheetName val="Tapering_Instructions_3_1317"/>
      <sheetName val="Marking_Location_(3)17"/>
      <sheetName val="Triming_edge_Instructions17"/>
      <sheetName val="Reinforcement_Placement_(1)17"/>
      <sheetName val="Reinforcement_Placement_(2)17"/>
      <sheetName val="Reinforcement_Placement_(2)2_27"/>
      <sheetName val="Reinforcement_Placement_(3)17"/>
      <sheetName val="Computer_Stitching_Schedule17"/>
      <sheetName val="Stitching_Overview_Sketch17"/>
      <sheetName val="Stitching_Instructions_(5)17"/>
      <sheetName val="Stitching_Instructions_(6)17"/>
      <sheetName val="Stitching_Instructions_(6)_3_27"/>
      <sheetName val="Stitching_Instructions_(7)17"/>
      <sheetName val="Upper_Injected_Compon_Pro__(117"/>
      <sheetName val="Upper_Injected_Compon_Pro__(217"/>
      <sheetName val="Upper_HF__Printing_Welding(1)17"/>
      <sheetName val="Upper_HF_Printing_Welding(2)17"/>
      <sheetName val="Upper_HF_Welding_Process_(3)17"/>
      <sheetName val="Upper_HF_Welding_Process_(4)17"/>
      <sheetName val="Upper_HF_Printing_Welding_(5)17"/>
      <sheetName val="Upper_HF_Welding_Process_(6)17"/>
      <sheetName val="CMP_PHYLON_CSS_CONFIRMATION17"/>
      <sheetName val="Phylon_Midsole_Spec_17"/>
      <sheetName val="Stock_Fitting_Process(3)17"/>
      <sheetName val="Stock_Fitting_Process_(6)17"/>
      <sheetName val="Stock_Fitting_Process_(7)17"/>
      <sheetName val="Upper_Weight_Control17"/>
      <sheetName val="Blank_Form17"/>
      <sheetName val="Raw_Data_Sheet17"/>
      <sheetName val="Cover_18"/>
      <sheetName val="Sheet1_18"/>
      <sheetName val="Index_18"/>
      <sheetName val="Spec1_18"/>
      <sheetName val="Spec__36"/>
      <sheetName val="Spec__37"/>
      <sheetName val="Spec_19"/>
      <sheetName val="Spec_618"/>
      <sheetName val="Spec7_18"/>
      <sheetName val="Spec8_18"/>
      <sheetName val="cutting___18"/>
      <sheetName val="Punch_Specification__18"/>
      <sheetName val="Logo_Specification18"/>
      <sheetName val="Strap_Specification18"/>
      <sheetName val="Part_&amp;_Group_Specification18"/>
      <sheetName val="Reinf_Placement18"/>
      <sheetName val="Skiving_instructions18"/>
      <sheetName val="Marking_locations18"/>
      <sheetName val="Folding_Locations18"/>
      <sheetName val="Stitching_Over_View18"/>
      <sheetName val="stitching_instructions_18"/>
      <sheetName val="Computer_stitched18"/>
      <sheetName val="Upper_Molded_Component_Spec__18"/>
      <sheetName val="Upper_Molded_Component_Proc__18"/>
      <sheetName val="Upper_Measurement_Spec18"/>
      <sheetName val="PFC_Revice18"/>
      <sheetName val="Cutting_Die_(1)18"/>
      <sheetName val="Cutting_Die_(2)18"/>
      <sheetName val="Cutting_Die_(3)18"/>
      <sheetName val="Perf_Specification18"/>
      <sheetName val="Marking_Location18"/>
      <sheetName val="Marking_Locations_(2)18"/>
      <sheetName val="Skiving_Instruction_(2)18"/>
      <sheetName val="Spliting_18"/>
      <sheetName val="Reinf__Placement_(1)18"/>
      <sheetName val="Reinf__Placement_(2)18"/>
      <sheetName val="Stitching_Instructions_(1)18"/>
      <sheetName val="Stitching_Instructions_(2)18"/>
      <sheetName val="Stitching_Instructions_(3)18"/>
      <sheetName val="Computer_Stitching_18"/>
      <sheetName val="Upper_Molded_Component_Spec_18"/>
      <sheetName val="PHYLON_CSS18"/>
      <sheetName val="PHYLON_CSS_SCHEDULES18"/>
      <sheetName val="PHYLON_CSS_CONFIRMATION18"/>
      <sheetName val="Outsole_Color_18"/>
      <sheetName val="Outsole_Preform_Specification26"/>
      <sheetName val="Outsole_Pressing_Process18"/>
      <sheetName val="Outsole_Degreasing_Process_18"/>
      <sheetName val="Stock_Fiting_UV-Light_Proce_18"/>
      <sheetName val="Stock_Fiting_Process_18"/>
      <sheetName val="IY_06_0718"/>
      <sheetName val="Assembly_UV-Light_Process__18"/>
      <sheetName val="Assembly_Process_6,7_18"/>
      <sheetName val="Assembly_Process_6,718"/>
      <sheetName val="IY08_09_1018"/>
      <sheetName val="Assembly_Process_8,9,10_18"/>
      <sheetName val="Assembly_Process_8,9,10_(2_)18"/>
      <sheetName val="Back_Part_Moulding_(Soccer_TP18"/>
      <sheetName val="Ecosole_Instructions_18"/>
      <sheetName val="Sockliner_Instructions18"/>
      <sheetName val="Sock_Liner_Spec_18"/>
      <sheetName val="_(6,7)18"/>
      <sheetName val="Skiving_Instruction_(1)18"/>
      <sheetName val="Spliting_Instructions18"/>
      <sheetName val="Tapering_Instructions18"/>
      <sheetName val="Marking_Location_(1)18"/>
      <sheetName val="Marking_Location_(2)18"/>
      <sheetName val="Trim_&amp;_Edge-painting18"/>
      <sheetName val="Reinforcement_Placement18"/>
      <sheetName val="Folding_Location18"/>
      <sheetName val="Pre-Buffing_Specification18"/>
      <sheetName val="Stitching_Instructions_(4)18"/>
      <sheetName val="Upper_Laser_Process-_Spec_18"/>
      <sheetName val="Upper_Laser_Process-Spec_(2)_18"/>
      <sheetName val="Upper_Laser_Process-Spec__(3)18"/>
      <sheetName val="Sockliner__Process18"/>
      <sheetName val="Outsole_Color_Schedule18"/>
      <sheetName val="Outsole_Preform_Specification27"/>
      <sheetName val="Outsole_Pressing_Process_18"/>
      <sheetName val="PU_CSS_CONFIRMATION18"/>
      <sheetName val="PU_CSS_Schedules18"/>
      <sheetName val="PU_Midsole_Spec_I18"/>
      <sheetName val="Stock_Fitting_Process_(8)18"/>
      <sheetName val="Stock_Fitting_Process_18"/>
      <sheetName val="Stock_Fitting_Process18"/>
      <sheetName val="Stock_Fitting_Process_(2)18"/>
      <sheetName val="Stock_Fitting_Process_(3)18"/>
      <sheetName val="Stockfit_BPFC18"/>
      <sheetName val="Assembling_Process18"/>
      <sheetName val="Assembling_Process_(2)18"/>
      <sheetName val="Assembly_BPFC18"/>
      <sheetName val="Production_Checklist18"/>
      <sheetName val="Sockliner_Specification18"/>
      <sheetName val="Upper_Measurement_Spec_18"/>
      <sheetName val="索引_(1)18"/>
      <sheetName val="沖孔規格說明_(2)18"/>
      <sheetName val="_削薄處指示說明18"/>
      <sheetName val="_削薄處指示說明_(2)18"/>
      <sheetName val="_削薄處指示說明_(3)18"/>
      <sheetName val="_削薄處指示說明_(4)18"/>
      <sheetName val="_削薄處指示說明_(5)18"/>
      <sheetName val="劃線印刷指示說明_(2)18"/>
      <sheetName val="劃線印刷指示說明_(3)18"/>
      <sheetName val="折邊指示說明_18"/>
      <sheetName val="針車流程_(2)18"/>
      <sheetName val="針車流程_(3)18"/>
      <sheetName val="針車流程_(4)18"/>
      <sheetName val="針車流程_(5)18"/>
      <sheetName val="針車流程_(6)18"/>
      <sheetName val="_鞋面印刷作業流程18"/>
      <sheetName val="_鞋面高週波作業流程_(2)18"/>
      <sheetName val="__鞋墊作業流程18"/>
      <sheetName val="Cover_313845-102((259_)_(2)18"/>
      <sheetName val="Index_(1)18"/>
      <sheetName val="Logo_Specification_(2)18"/>
      <sheetName val="Screen_Printing_(4)18"/>
      <sheetName val="Upper_HF_Welding_Process(5)18"/>
      <sheetName val="Index_(3)18"/>
      <sheetName val="Bottom_Component_Process_Spec18"/>
      <sheetName val="Stock_Fitting_Process_(4)18"/>
      <sheetName val="Stock_Fitting_Process_(5)18"/>
      <sheetName val="Stockfit_BPFC_(2)18"/>
      <sheetName val="Assembling_Process_(3)18"/>
      <sheetName val="Assembly_BPFC_(2)18"/>
      <sheetName val="Sockliner_Sublimation_Process18"/>
      <sheetName val="Cutting_D)e_(1)18"/>
      <sheetName val="Cutting_D)e_(2)18"/>
      <sheetName val="Cutting_D)e_(3)18"/>
      <sheetName val="Stitching_Instructio_s_(3)18"/>
      <sheetName val="output_per_jam18"/>
      <sheetName val="data_Productivity18"/>
      <sheetName val="MLT_18"/>
      <sheetName val="daily_BEP18"/>
      <sheetName val="178049A_XLS18"/>
      <sheetName val="LB_CUTTING_KUROBE18"/>
      <sheetName val="Cutting(3)_3_1718"/>
      <sheetName val="Cutting(5)_3_1318"/>
      <sheetName val="Cutting(6)3_1718"/>
      <sheetName val="Molding_Piece_Schedule18"/>
      <sheetName val="Perf_Specification_(1)18"/>
      <sheetName val="Perf_Specification_(2)18"/>
      <sheetName val="Skiving_Instruction_(3)18"/>
      <sheetName val="Skiving_Instruction_(4)18"/>
      <sheetName val="Skiving_Instruction_(5)18"/>
      <sheetName val="Tapering_Instructions_3_1318"/>
      <sheetName val="Marking_Location_(3)18"/>
      <sheetName val="Triming_edge_Instructions18"/>
      <sheetName val="Reinforcement_Placement_(1)18"/>
      <sheetName val="Reinforcement_Placement_(2)18"/>
      <sheetName val="Reinforcement_Placement_(2)2_28"/>
      <sheetName val="Reinforcement_Placement_(3)18"/>
      <sheetName val="Computer_Stitching_Schedule18"/>
      <sheetName val="Stitching_Overview_Sketch18"/>
      <sheetName val="Stitching_Instructions_(5)18"/>
      <sheetName val="Stitching_Instructions_(6)18"/>
      <sheetName val="Stitching_Instructions_(6)_3_28"/>
      <sheetName val="Stitching_Instructions_(7)18"/>
      <sheetName val="Upper_Injected_Compon_Pro__(118"/>
      <sheetName val="Upper_Injected_Compon_Pro__(218"/>
      <sheetName val="Upper_HF__Printing_Welding(1)18"/>
      <sheetName val="Upper_HF_Printing_Welding(2)18"/>
      <sheetName val="Upper_HF_Welding_Process_(3)18"/>
      <sheetName val="Upper_HF_Welding_Process_(4)18"/>
      <sheetName val="Upper_HF_Printing_Welding_(5)18"/>
      <sheetName val="Upper_HF_Welding_Process_(6)18"/>
      <sheetName val="CMP_PHYLON_CSS_CONFIRMATION18"/>
      <sheetName val="Phylon_Midsole_Spec_18"/>
      <sheetName val="Stock_Fitting_Process(3)18"/>
      <sheetName val="Stock_Fitting_Process_(6)18"/>
      <sheetName val="Stock_Fitting_Process_(7)18"/>
      <sheetName val="Upper_Weight_Control18"/>
      <sheetName val="Blank_Form18"/>
      <sheetName val="Raw_Data_Sheet18"/>
      <sheetName val="Cover_19"/>
      <sheetName val="Sheet1_19"/>
      <sheetName val="Index_19"/>
      <sheetName val="Spec1_19"/>
      <sheetName val="Spec__38"/>
      <sheetName val="Spec__39"/>
      <sheetName val="Spec_20"/>
      <sheetName val="Spec_619"/>
      <sheetName val="Spec7_19"/>
      <sheetName val="Spec8_19"/>
      <sheetName val="cutting___19"/>
      <sheetName val="Punch_Specification__19"/>
      <sheetName val="Logo_Specification19"/>
      <sheetName val="Strap_Specification19"/>
      <sheetName val="Part_&amp;_Group_Specification19"/>
      <sheetName val="Reinf_Placement19"/>
      <sheetName val="Skiving_instructions19"/>
      <sheetName val="Marking_locations19"/>
      <sheetName val="Folding_Locations19"/>
      <sheetName val="Stitching_Over_View19"/>
      <sheetName val="stitching_instructions_19"/>
      <sheetName val="Computer_stitched19"/>
      <sheetName val="Upper_Molded_Component_Spec__19"/>
      <sheetName val="Upper_Molded_Component_Proc__19"/>
      <sheetName val="Upper_Measurement_Spec19"/>
      <sheetName val="PFC_Revice19"/>
      <sheetName val="Cutting_Die_(1)19"/>
      <sheetName val="Cutting_Die_(2)19"/>
      <sheetName val="Cutting_Die_(3)19"/>
      <sheetName val="Perf_Specification19"/>
      <sheetName val="Marking_Location19"/>
      <sheetName val="Marking_Locations_(2)19"/>
      <sheetName val="Skiving_Instruction_(2)19"/>
      <sheetName val="Spliting_19"/>
      <sheetName val="Reinf__Placement_(1)19"/>
      <sheetName val="Reinf__Placement_(2)19"/>
      <sheetName val="Stitching_Instructions_(1)19"/>
      <sheetName val="Stitching_Instructions_(2)19"/>
      <sheetName val="Stitching_Instructions_(3)19"/>
      <sheetName val="Computer_Stitching_19"/>
      <sheetName val="Upper_Molded_Component_Spec_19"/>
      <sheetName val="PHYLON_CSS19"/>
      <sheetName val="PHYLON_CSS_SCHEDULES19"/>
      <sheetName val="PHYLON_CSS_CONFIRMATION19"/>
      <sheetName val="Outsole_Color_19"/>
      <sheetName val="Outsole_Preform_Specification28"/>
      <sheetName val="Outsole_Pressing_Process19"/>
      <sheetName val="Outsole_Degreasing_Process_19"/>
      <sheetName val="Stock_Fiting_UV-Light_Proce_19"/>
      <sheetName val="Stock_Fiting_Process_19"/>
      <sheetName val="IY_06_0719"/>
      <sheetName val="Assembly_UV-Light_Process__19"/>
      <sheetName val="Assembly_Process_6,7_19"/>
      <sheetName val="Assembly_Process_6,719"/>
      <sheetName val="IY08_09_1019"/>
      <sheetName val="Assembly_Process_8,9,10_19"/>
      <sheetName val="Assembly_Process_8,9,10_(2_)19"/>
      <sheetName val="Back_Part_Moulding_(Soccer_TP19"/>
      <sheetName val="Ecosole_Instructions_19"/>
      <sheetName val="Sockliner_Instructions19"/>
      <sheetName val="Sock_Liner_Spec_19"/>
      <sheetName val="_(6,7)19"/>
      <sheetName val="Skiving_Instruction_(1)19"/>
      <sheetName val="Spliting_Instructions19"/>
      <sheetName val="Tapering_Instructions19"/>
      <sheetName val="Marking_Location_(1)19"/>
      <sheetName val="Marking_Location_(2)19"/>
      <sheetName val="Trim_&amp;_Edge-painting19"/>
      <sheetName val="Reinforcement_Placement19"/>
      <sheetName val="Folding_Location19"/>
      <sheetName val="Pre-Buffing_Specification19"/>
      <sheetName val="Stitching_Instructions_(4)19"/>
      <sheetName val="Upper_Laser_Process-_Spec_19"/>
      <sheetName val="Upper_Laser_Process-Spec_(2)_19"/>
      <sheetName val="Upper_Laser_Process-Spec__(3)19"/>
      <sheetName val="Sockliner__Process19"/>
      <sheetName val="Outsole_Color_Schedule19"/>
      <sheetName val="Outsole_Preform_Specification29"/>
      <sheetName val="Outsole_Pressing_Process_19"/>
      <sheetName val="PU_CSS_CONFIRMATION19"/>
      <sheetName val="PU_CSS_Schedules19"/>
      <sheetName val="PU_Midsole_Spec_I19"/>
      <sheetName val="Stock_Fitting_Process_(8)19"/>
      <sheetName val="Stock_Fitting_Process_19"/>
      <sheetName val="Stock_Fitting_Process19"/>
      <sheetName val="Stock_Fitting_Process_(2)19"/>
      <sheetName val="Stock_Fitting_Process_(3)19"/>
      <sheetName val="Stockfit_BPFC19"/>
      <sheetName val="Assembling_Process19"/>
      <sheetName val="Assembling_Process_(2)19"/>
      <sheetName val="Assembly_BPFC19"/>
      <sheetName val="Production_Checklist19"/>
      <sheetName val="Sockliner_Specification19"/>
      <sheetName val="Upper_Measurement_Spec_19"/>
      <sheetName val="索引_(1)19"/>
      <sheetName val="沖孔規格說明_(2)19"/>
      <sheetName val="_削薄處指示說明19"/>
      <sheetName val="_削薄處指示說明_(2)19"/>
      <sheetName val="_削薄處指示說明_(3)19"/>
      <sheetName val="_削薄處指示說明_(4)19"/>
      <sheetName val="_削薄處指示說明_(5)19"/>
      <sheetName val="劃線印刷指示說明_(2)19"/>
      <sheetName val="劃線印刷指示說明_(3)19"/>
      <sheetName val="折邊指示說明_19"/>
      <sheetName val="針車流程_(2)19"/>
      <sheetName val="針車流程_(3)19"/>
      <sheetName val="針車流程_(4)19"/>
      <sheetName val="針車流程_(5)19"/>
      <sheetName val="針車流程_(6)19"/>
      <sheetName val="_鞋面印刷作業流程19"/>
      <sheetName val="_鞋面高週波作業流程_(2)19"/>
      <sheetName val="__鞋墊作業流程19"/>
      <sheetName val="Cover_313845-102((259_)_(2)19"/>
      <sheetName val="Index_(1)19"/>
      <sheetName val="Logo_Specification_(2)19"/>
      <sheetName val="Screen_Printing_(4)19"/>
      <sheetName val="Upper_HF_Welding_Process(5)19"/>
      <sheetName val="Index_(3)19"/>
      <sheetName val="Bottom_Component_Process_Spec19"/>
      <sheetName val="Stock_Fitting_Process_(4)19"/>
      <sheetName val="Stock_Fitting_Process_(5)19"/>
      <sheetName val="Stockfit_BPFC_(2)19"/>
      <sheetName val="Assembling_Process_(3)19"/>
      <sheetName val="Assembly_BPFC_(2)19"/>
      <sheetName val="Sockliner_Sublimation_Process19"/>
      <sheetName val="Cutting_D)e_(1)19"/>
      <sheetName val="Cutting_D)e_(2)19"/>
      <sheetName val="Cutting_D)e_(3)19"/>
      <sheetName val="Stitching_Instructio_s_(3)19"/>
      <sheetName val="output_per_jam19"/>
      <sheetName val="data_Productivity19"/>
      <sheetName val="MLT_19"/>
      <sheetName val="daily_BEP19"/>
      <sheetName val="178049A_XLS19"/>
      <sheetName val="LB_CUTTING_KUROBE19"/>
      <sheetName val="Cutting(3)_3_1719"/>
      <sheetName val="Cutting(5)_3_1319"/>
      <sheetName val="Cutting(6)3_1719"/>
      <sheetName val="Molding_Piece_Schedule19"/>
      <sheetName val="Perf_Specification_(1)19"/>
      <sheetName val="Perf_Specification_(2)19"/>
      <sheetName val="Skiving_Instruction_(3)19"/>
      <sheetName val="Skiving_Instruction_(4)19"/>
      <sheetName val="Skiving_Instruction_(5)19"/>
      <sheetName val="Tapering_Instructions_3_1319"/>
      <sheetName val="Marking_Location_(3)19"/>
      <sheetName val="Triming_edge_Instructions19"/>
      <sheetName val="Reinforcement_Placement_(1)19"/>
      <sheetName val="Reinforcement_Placement_(2)19"/>
      <sheetName val="Reinforcement_Placement_(2)2_29"/>
      <sheetName val="Reinforcement_Placement_(3)19"/>
      <sheetName val="Computer_Stitching_Schedule19"/>
      <sheetName val="Stitching_Overview_Sketch19"/>
      <sheetName val="Stitching_Instructions_(5)19"/>
      <sheetName val="Stitching_Instructions_(6)19"/>
      <sheetName val="Stitching_Instructions_(6)_3_29"/>
      <sheetName val="Stitching_Instructions_(7)19"/>
      <sheetName val="Upper_Injected_Compon_Pro__(119"/>
      <sheetName val="Upper_Injected_Compon_Pro__(219"/>
      <sheetName val="Upper_HF__Printing_Welding(1)19"/>
      <sheetName val="Upper_HF_Printing_Welding(2)19"/>
      <sheetName val="Upper_HF_Welding_Process_(3)19"/>
      <sheetName val="Upper_HF_Welding_Process_(4)19"/>
      <sheetName val="Upper_HF_Printing_Welding_(5)19"/>
      <sheetName val="Upper_HF_Welding_Process_(6)19"/>
      <sheetName val="CMP_PHYLON_CSS_CONFIRMATION19"/>
      <sheetName val="Phylon_Midsole_Spec_19"/>
      <sheetName val="Stock_Fitting_Process(3)19"/>
      <sheetName val="Stock_Fitting_Process_(6)19"/>
      <sheetName val="Stock_Fitting_Process_(7)19"/>
      <sheetName val="Upper_Weight_Control19"/>
      <sheetName val="Blank_Form19"/>
      <sheetName val="Raw_Data_Sheet19"/>
      <sheetName val="Cover_20"/>
      <sheetName val="Sheet1_20"/>
      <sheetName val="Index_20"/>
      <sheetName val="Spec1_20"/>
      <sheetName val="Spec__40"/>
      <sheetName val="Spec__41"/>
      <sheetName val="Spec_21"/>
      <sheetName val="Spec_620"/>
      <sheetName val="Spec7_20"/>
      <sheetName val="Spec8_20"/>
      <sheetName val="cutting___20"/>
      <sheetName val="Punch_Specification__20"/>
      <sheetName val="Logo_Specification20"/>
      <sheetName val="Strap_Specification20"/>
      <sheetName val="Part_&amp;_Group_Specification20"/>
      <sheetName val="Reinf_Placement20"/>
      <sheetName val="Skiving_instructions20"/>
      <sheetName val="Marking_locations20"/>
      <sheetName val="Folding_Locations20"/>
      <sheetName val="Stitching_Over_View20"/>
      <sheetName val="stitching_instructions_20"/>
      <sheetName val="Computer_stitched20"/>
      <sheetName val="Upper_Molded_Component_Spec__20"/>
      <sheetName val="Upper_Molded_Component_Proc__20"/>
      <sheetName val="Upper_Measurement_Spec20"/>
      <sheetName val="PFC_Revice20"/>
      <sheetName val="Cutting_Die_(1)20"/>
      <sheetName val="Cutting_Die_(2)20"/>
      <sheetName val="Cutting_Die_(3)20"/>
      <sheetName val="Perf_Specification20"/>
      <sheetName val="Marking_Location20"/>
      <sheetName val="Marking_Locations_(2)20"/>
      <sheetName val="Skiving_Instruction_(2)20"/>
      <sheetName val="Spliting_20"/>
      <sheetName val="Reinf__Placement_(1)20"/>
      <sheetName val="Reinf__Placement_(2)20"/>
      <sheetName val="Stitching_Instructions_(1)20"/>
      <sheetName val="Stitching_Instructions_(2)20"/>
      <sheetName val="Stitching_Instructions_(3)20"/>
      <sheetName val="Computer_Stitching_20"/>
      <sheetName val="Upper_Molded_Component_Spec_20"/>
      <sheetName val="PHYLON_CSS20"/>
      <sheetName val="PHYLON_CSS_SCHEDULES20"/>
      <sheetName val="PHYLON_CSS_CONFIRMATION20"/>
      <sheetName val="Outsole_Color_20"/>
      <sheetName val="Outsole_Preform_Specification30"/>
      <sheetName val="Outsole_Pressing_Process20"/>
      <sheetName val="Outsole_Degreasing_Process_20"/>
      <sheetName val="Stock_Fiting_UV-Light_Proce_20"/>
      <sheetName val="Stock_Fiting_Process_20"/>
      <sheetName val="IY_06_0720"/>
      <sheetName val="Assembly_UV-Light_Process__20"/>
      <sheetName val="Assembly_Process_6,7_20"/>
      <sheetName val="Assembly_Process_6,720"/>
      <sheetName val="IY08_09_1020"/>
      <sheetName val="Assembly_Process_8,9,10_20"/>
      <sheetName val="Assembly_Process_8,9,10_(2_)20"/>
      <sheetName val="Back_Part_Moulding_(Soccer_TP20"/>
      <sheetName val="Ecosole_Instructions_20"/>
      <sheetName val="Sockliner_Instructions20"/>
      <sheetName val="Sock_Liner_Spec_20"/>
      <sheetName val="_(6,7)20"/>
      <sheetName val="Skiving_Instruction_(1)20"/>
      <sheetName val="Spliting_Instructions20"/>
      <sheetName val="Tapering_Instructions20"/>
      <sheetName val="Marking_Location_(1)20"/>
      <sheetName val="Marking_Location_(2)20"/>
      <sheetName val="Trim_&amp;_Edge-painting20"/>
      <sheetName val="Reinforcement_Placement20"/>
      <sheetName val="Folding_Location20"/>
      <sheetName val="Pre-Buffing_Specification20"/>
      <sheetName val="Stitching_Instructions_(4)20"/>
      <sheetName val="Upper_Laser_Process-_Spec_20"/>
      <sheetName val="Upper_Laser_Process-Spec_(2)_20"/>
      <sheetName val="Upper_Laser_Process-Spec__(3)20"/>
      <sheetName val="Sockliner__Process20"/>
      <sheetName val="Outsole_Color_Schedule20"/>
      <sheetName val="Outsole_Preform_Specification31"/>
      <sheetName val="Outsole_Pressing_Process_20"/>
      <sheetName val="PU_CSS_CONFIRMATION20"/>
      <sheetName val="PU_CSS_Schedules20"/>
      <sheetName val="PU_Midsole_Spec_I20"/>
      <sheetName val="Stock_Fitting_Process_(8)20"/>
      <sheetName val="Stock_Fitting_Process_20"/>
      <sheetName val="Stock_Fitting_Process20"/>
      <sheetName val="Stock_Fitting_Process_(2)20"/>
      <sheetName val="Stock_Fitting_Process_(3)20"/>
      <sheetName val="Stockfit_BPFC20"/>
      <sheetName val="Assembling_Process20"/>
      <sheetName val="Assembling_Process_(2)20"/>
      <sheetName val="Assembly_BPFC20"/>
      <sheetName val="Production_Checklist20"/>
      <sheetName val="Sockliner_Specification20"/>
      <sheetName val="Upper_Measurement_Spec_20"/>
      <sheetName val="索引_(1)20"/>
      <sheetName val="沖孔規格說明_(2)20"/>
      <sheetName val="_削薄處指示說明20"/>
      <sheetName val="_削薄處指示說明_(2)20"/>
      <sheetName val="_削薄處指示說明_(3)20"/>
      <sheetName val="_削薄處指示說明_(4)20"/>
      <sheetName val="_削薄處指示說明_(5)20"/>
      <sheetName val="劃線印刷指示說明_(2)20"/>
      <sheetName val="劃線印刷指示說明_(3)20"/>
      <sheetName val="折邊指示說明_20"/>
      <sheetName val="針車流程_(2)20"/>
      <sheetName val="針車流程_(3)20"/>
      <sheetName val="針車流程_(4)20"/>
      <sheetName val="針車流程_(5)20"/>
      <sheetName val="針車流程_(6)20"/>
      <sheetName val="_鞋面印刷作業流程20"/>
      <sheetName val="_鞋面高週波作業流程_(2)20"/>
      <sheetName val="__鞋墊作業流程20"/>
      <sheetName val="Cover_313845-102((259_)_(2)20"/>
      <sheetName val="Index_(1)20"/>
      <sheetName val="Logo_Specification_(2)20"/>
      <sheetName val="Screen_Printing_(4)20"/>
      <sheetName val="Upper_HF_Welding_Process(5)20"/>
      <sheetName val="Index_(3)20"/>
      <sheetName val="Bottom_Component_Process_Spec20"/>
      <sheetName val="Stock_Fitting_Process_(4)20"/>
      <sheetName val="Stock_Fitting_Process_(5)20"/>
      <sheetName val="Stockfit_BPFC_(2)20"/>
      <sheetName val="Assembling_Process_(3)20"/>
      <sheetName val="Assembly_BPFC_(2)20"/>
      <sheetName val="Sockliner_Sublimation_Process20"/>
      <sheetName val="Cutting_D)e_(1)20"/>
      <sheetName val="Cutting_D)e_(2)20"/>
      <sheetName val="Cutting_D)e_(3)20"/>
      <sheetName val="Stitching_Instructio_s_(3)20"/>
      <sheetName val="output_per_jam20"/>
      <sheetName val="data_Productivity20"/>
      <sheetName val="MLT_20"/>
      <sheetName val="daily_BEP20"/>
      <sheetName val="178049A_XLS20"/>
      <sheetName val="LB_CUTTING_KUROBE20"/>
      <sheetName val="Cutting(3)_3_1720"/>
      <sheetName val="Cutting(5)_3_1320"/>
      <sheetName val="Cutting(6)3_1720"/>
      <sheetName val="Molding_Piece_Schedule20"/>
      <sheetName val="Perf_Specification_(1)20"/>
      <sheetName val="Perf_Specification_(2)20"/>
      <sheetName val="Skiving_Instruction_(3)20"/>
      <sheetName val="Skiving_Instruction_(4)20"/>
      <sheetName val="Skiving_Instruction_(5)20"/>
      <sheetName val="Tapering_Instructions_3_1320"/>
      <sheetName val="Marking_Location_(3)20"/>
      <sheetName val="Triming_edge_Instructions20"/>
      <sheetName val="Reinforcement_Placement_(1)20"/>
      <sheetName val="Reinforcement_Placement_(2)20"/>
      <sheetName val="Reinforcement_Placement_(2)2_30"/>
      <sheetName val="Reinforcement_Placement_(3)20"/>
      <sheetName val="Computer_Stitching_Schedule20"/>
      <sheetName val="Stitching_Overview_Sketch20"/>
      <sheetName val="Stitching_Instructions_(5)20"/>
      <sheetName val="Stitching_Instructions_(6)20"/>
      <sheetName val="Stitching_Instructions_(6)_3_30"/>
      <sheetName val="Stitching_Instructions_(7)20"/>
      <sheetName val="Upper_Injected_Compon_Pro__(120"/>
      <sheetName val="Upper_Injected_Compon_Pro__(220"/>
      <sheetName val="Upper_HF__Printing_Welding(1)20"/>
      <sheetName val="Upper_HF_Printing_Welding(2)20"/>
      <sheetName val="Upper_HF_Welding_Process_(3)20"/>
      <sheetName val="Upper_HF_Welding_Process_(4)20"/>
      <sheetName val="Upper_HF_Printing_Welding_(5)20"/>
      <sheetName val="Upper_HF_Welding_Process_(6)20"/>
      <sheetName val="CMP_PHYLON_CSS_CONFIRMATION20"/>
      <sheetName val="Phylon_Midsole_Spec_20"/>
      <sheetName val="Stock_Fitting_Process(3)20"/>
      <sheetName val="Stock_Fitting_Process_(6)20"/>
      <sheetName val="Stock_Fitting_Process_(7)20"/>
      <sheetName val="Upper_Weight_Control20"/>
      <sheetName val="Blank_Form20"/>
      <sheetName val="Raw_Data_Sheet20"/>
      <sheetName val="Cover_21"/>
      <sheetName val="Sheet1_21"/>
      <sheetName val="Index_21"/>
      <sheetName val="Spec1_21"/>
      <sheetName val="Spec__42"/>
      <sheetName val="Spec__43"/>
      <sheetName val="Spec_22"/>
      <sheetName val="Spec_621"/>
      <sheetName val="Spec7_21"/>
      <sheetName val="Spec8_21"/>
      <sheetName val="cutting___21"/>
      <sheetName val="Punch_Specification__21"/>
      <sheetName val="Logo_Specification21"/>
      <sheetName val="Strap_Specification21"/>
      <sheetName val="Part_&amp;_Group_Specification21"/>
      <sheetName val="Reinf_Placement21"/>
      <sheetName val="Skiving_instructions21"/>
      <sheetName val="Marking_locations21"/>
      <sheetName val="Folding_Locations21"/>
      <sheetName val="Stitching_Over_View21"/>
      <sheetName val="stitching_instructions_21"/>
      <sheetName val="Computer_stitched21"/>
      <sheetName val="Upper_Molded_Component_Spec__21"/>
      <sheetName val="Upper_Molded_Component_Proc__21"/>
      <sheetName val="Upper_Measurement_Spec21"/>
      <sheetName val="PFC_Revice21"/>
      <sheetName val="Cutting_Die_(1)21"/>
      <sheetName val="Cutting_Die_(2)21"/>
      <sheetName val="Cutting_Die_(3)21"/>
      <sheetName val="Perf_Specification21"/>
      <sheetName val="Marking_Location21"/>
      <sheetName val="Marking_Locations_(2)21"/>
      <sheetName val="Skiving_Instruction_(2)21"/>
      <sheetName val="Spliting_21"/>
      <sheetName val="Reinf__Placement_(1)21"/>
      <sheetName val="Reinf__Placement_(2)21"/>
      <sheetName val="Stitching_Instructions_(1)21"/>
      <sheetName val="Stitching_Instructions_(2)21"/>
      <sheetName val="Stitching_Instructions_(3)21"/>
      <sheetName val="Computer_Stitching_21"/>
      <sheetName val="Upper_Molded_Component_Spec_21"/>
      <sheetName val="PHYLON_CSS21"/>
      <sheetName val="PHYLON_CSS_SCHEDULES21"/>
      <sheetName val="PHYLON_CSS_CONFIRMATION21"/>
      <sheetName val="Outsole_Color_21"/>
      <sheetName val="Outsole_Preform_Specification32"/>
      <sheetName val="Outsole_Pressing_Process21"/>
      <sheetName val="Outsole_Degreasing_Process_21"/>
      <sheetName val="Stock_Fiting_UV-Light_Proce_21"/>
      <sheetName val="Stock_Fiting_Process_21"/>
      <sheetName val="IY_06_0721"/>
      <sheetName val="Assembly_UV-Light_Process__21"/>
      <sheetName val="Assembly_Process_6,7_21"/>
      <sheetName val="Assembly_Process_6,721"/>
      <sheetName val="IY08_09_1021"/>
      <sheetName val="Assembly_Process_8,9,10_21"/>
      <sheetName val="Assembly_Process_8,9,10_(2_)21"/>
      <sheetName val="Back_Part_Moulding_(Soccer_TP21"/>
      <sheetName val="Ecosole_Instructions_21"/>
      <sheetName val="Sockliner_Instructions21"/>
      <sheetName val="Sock_Liner_Spec_21"/>
      <sheetName val="_(6,7)21"/>
      <sheetName val="Skiving_Instruction_(1)21"/>
      <sheetName val="Spliting_Instructions21"/>
      <sheetName val="Tapering_Instructions21"/>
      <sheetName val="Marking_Location_(1)21"/>
      <sheetName val="Marking_Location_(2)21"/>
      <sheetName val="Trim_&amp;_Edge-painting21"/>
      <sheetName val="Reinforcement_Placement21"/>
      <sheetName val="Folding_Location21"/>
      <sheetName val="Pre-Buffing_Specification21"/>
      <sheetName val="Stitching_Instructions_(4)21"/>
      <sheetName val="Upper_Laser_Process-_Spec_21"/>
      <sheetName val="Upper_Laser_Process-Spec_(2)_21"/>
      <sheetName val="Upper_Laser_Process-Spec__(3)21"/>
      <sheetName val="Sockliner__Process21"/>
      <sheetName val="Outsole_Color_Schedule21"/>
      <sheetName val="Outsole_Preform_Specification33"/>
      <sheetName val="Outsole_Pressing_Process_21"/>
      <sheetName val="PU_CSS_CONFIRMATION21"/>
      <sheetName val="PU_CSS_Schedules21"/>
      <sheetName val="PU_Midsole_Spec_I21"/>
      <sheetName val="Stock_Fitting_Process_(8)21"/>
      <sheetName val="Stock_Fitting_Process_21"/>
      <sheetName val="Stock_Fitting_Process21"/>
      <sheetName val="Stock_Fitting_Process_(2)21"/>
      <sheetName val="Stock_Fitting_Process_(3)21"/>
      <sheetName val="Stockfit_BPFC21"/>
      <sheetName val="Assembling_Process21"/>
      <sheetName val="Assembling_Process_(2)21"/>
      <sheetName val="Assembly_BPFC21"/>
      <sheetName val="Production_Checklist21"/>
      <sheetName val="Sockliner_Specification21"/>
      <sheetName val="Upper_Measurement_Spec_21"/>
      <sheetName val="索引_(1)21"/>
      <sheetName val="沖孔規格說明_(2)21"/>
      <sheetName val="_削薄處指示說明21"/>
      <sheetName val="_削薄處指示說明_(2)21"/>
      <sheetName val="_削薄處指示說明_(3)21"/>
      <sheetName val="_削薄處指示說明_(4)21"/>
      <sheetName val="_削薄處指示說明_(5)21"/>
      <sheetName val="劃線印刷指示說明_(2)21"/>
      <sheetName val="劃線印刷指示說明_(3)21"/>
      <sheetName val="折邊指示說明_21"/>
      <sheetName val="針車流程_(2)21"/>
      <sheetName val="針車流程_(3)21"/>
      <sheetName val="針車流程_(4)21"/>
      <sheetName val="針車流程_(5)21"/>
      <sheetName val="針車流程_(6)21"/>
      <sheetName val="_鞋面印刷作業流程21"/>
      <sheetName val="_鞋面高週波作業流程_(2)21"/>
      <sheetName val="__鞋墊作業流程21"/>
      <sheetName val="Cover_313845-102((259_)_(2)21"/>
      <sheetName val="Index_(1)21"/>
      <sheetName val="Logo_Specification_(2)21"/>
      <sheetName val="Screen_Printing_(4)21"/>
      <sheetName val="Upper_HF_Welding_Process(5)21"/>
      <sheetName val="Index_(3)21"/>
      <sheetName val="Bottom_Component_Process_Spec21"/>
      <sheetName val="Stock_Fitting_Process_(4)21"/>
      <sheetName val="Stock_Fitting_Process_(5)21"/>
      <sheetName val="Stockfit_BPFC_(2)21"/>
      <sheetName val="Assembling_Process_(3)21"/>
      <sheetName val="Assembly_BPFC_(2)21"/>
      <sheetName val="Sockliner_Sublimation_Process21"/>
      <sheetName val="Cutting_D)e_(1)21"/>
      <sheetName val="Cutting_D)e_(2)21"/>
      <sheetName val="Cutting_D)e_(3)21"/>
      <sheetName val="Stitching_Instructio_s_(3)21"/>
      <sheetName val="output_per_jam21"/>
      <sheetName val="data_Productivity21"/>
      <sheetName val="MLT_21"/>
      <sheetName val="daily_BEP21"/>
      <sheetName val="178049A_XLS21"/>
      <sheetName val="LB_CUTTING_KUROBE21"/>
      <sheetName val="Cutting(3)_3_1721"/>
      <sheetName val="Cutting(5)_3_1321"/>
      <sheetName val="Cutting(6)3_1721"/>
      <sheetName val="Molding_Piece_Schedule21"/>
      <sheetName val="Perf_Specification_(1)21"/>
      <sheetName val="Perf_Specification_(2)21"/>
      <sheetName val="Skiving_Instruction_(3)21"/>
      <sheetName val="Skiving_Instruction_(4)21"/>
      <sheetName val="Skiving_Instruction_(5)21"/>
      <sheetName val="Tapering_Instructions_3_1321"/>
      <sheetName val="Marking_Location_(3)21"/>
      <sheetName val="Triming_edge_Instructions21"/>
      <sheetName val="Reinforcement_Placement_(1)21"/>
      <sheetName val="Reinforcement_Placement_(2)21"/>
      <sheetName val="Reinforcement_Placement_(2)2_31"/>
      <sheetName val="Reinforcement_Placement_(3)21"/>
      <sheetName val="Computer_Stitching_Schedule21"/>
      <sheetName val="Stitching_Overview_Sketch21"/>
      <sheetName val="Stitching_Instructions_(5)21"/>
      <sheetName val="Stitching_Instructions_(6)21"/>
      <sheetName val="Stitching_Instructions_(6)_3_31"/>
      <sheetName val="Stitching_Instructions_(7)21"/>
      <sheetName val="Upper_Injected_Compon_Pro__(121"/>
      <sheetName val="Upper_Injected_Compon_Pro__(221"/>
      <sheetName val="Upper_HF__Printing_Welding(1)21"/>
      <sheetName val="Upper_HF_Printing_Welding(2)21"/>
      <sheetName val="Upper_HF_Welding_Process_(3)21"/>
      <sheetName val="Upper_HF_Welding_Process_(4)21"/>
      <sheetName val="Upper_HF_Printing_Welding_(5)21"/>
      <sheetName val="Upper_HF_Welding_Process_(6)21"/>
      <sheetName val="CMP_PHYLON_CSS_CONFIRMATION21"/>
      <sheetName val="Phylon_Midsole_Spec_21"/>
      <sheetName val="Stock_Fitting_Process(3)21"/>
      <sheetName val="Stock_Fitting_Process_(6)21"/>
      <sheetName val="Stock_Fitting_Process_(7)21"/>
      <sheetName val="Upper_Weight_Control21"/>
      <sheetName val="Blank_Form21"/>
      <sheetName val="Raw_Data_Sheet21"/>
      <sheetName val="Cover_22"/>
      <sheetName val="Sheet1_22"/>
      <sheetName val="Index_22"/>
      <sheetName val="Spec1_22"/>
      <sheetName val="Spec__44"/>
      <sheetName val="Spec__45"/>
      <sheetName val="Spec_23"/>
      <sheetName val="Spec_622"/>
      <sheetName val="Spec7_22"/>
      <sheetName val="Spec8_22"/>
      <sheetName val="cutting___22"/>
      <sheetName val="Punch_Specification__22"/>
      <sheetName val="Logo_Specification22"/>
      <sheetName val="Strap_Specification22"/>
      <sheetName val="Part_&amp;_Group_Specification22"/>
      <sheetName val="Reinf_Placement22"/>
      <sheetName val="Skiving_instructions22"/>
      <sheetName val="Marking_locations22"/>
      <sheetName val="Folding_Locations22"/>
      <sheetName val="Stitching_Over_View22"/>
      <sheetName val="stitching_instructions_22"/>
      <sheetName val="Computer_stitched22"/>
      <sheetName val="Upper_Molded_Component_Spec__22"/>
      <sheetName val="Upper_Molded_Component_Proc__22"/>
      <sheetName val="Upper_Measurement_Spec22"/>
      <sheetName val="PFC_Revice22"/>
      <sheetName val="Cutting_Die_(1)22"/>
      <sheetName val="Cutting_Die_(2)22"/>
      <sheetName val="Cutting_Die_(3)22"/>
      <sheetName val="Perf_Specification22"/>
      <sheetName val="Marking_Location22"/>
      <sheetName val="Marking_Locations_(2)22"/>
      <sheetName val="Skiving_Instruction_(2)22"/>
      <sheetName val="Spliting_22"/>
      <sheetName val="Reinf__Placement_(1)22"/>
      <sheetName val="Reinf__Placement_(2)22"/>
      <sheetName val="Stitching_Instructions_(1)22"/>
      <sheetName val="Stitching_Instructions_(2)22"/>
      <sheetName val="Stitching_Instructions_(3)22"/>
      <sheetName val="Computer_Stitching_22"/>
      <sheetName val="Upper_Molded_Component_Spec_22"/>
      <sheetName val="PHYLON_CSS22"/>
      <sheetName val="PHYLON_CSS_SCHEDULES22"/>
      <sheetName val="PHYLON_CSS_CONFIRMATION22"/>
      <sheetName val="Outsole_Color_22"/>
      <sheetName val="Outsole_Preform_Specification34"/>
      <sheetName val="Outsole_Pressing_Process22"/>
      <sheetName val="Outsole_Degreasing_Process_22"/>
      <sheetName val="Stock_Fiting_UV-Light_Proce_22"/>
      <sheetName val="Stock_Fiting_Process_22"/>
      <sheetName val="IY_06_0722"/>
      <sheetName val="Assembly_UV-Light_Process__22"/>
      <sheetName val="Assembly_Process_6,7_22"/>
      <sheetName val="Assembly_Process_6,722"/>
      <sheetName val="IY08_09_1022"/>
      <sheetName val="Assembly_Process_8,9,10_22"/>
      <sheetName val="Assembly_Process_8,9,10_(2_)22"/>
      <sheetName val="Back_Part_Moulding_(Soccer_TP22"/>
      <sheetName val="Ecosole_Instructions_22"/>
      <sheetName val="Sockliner_Instructions22"/>
      <sheetName val="Sock_Liner_Spec_22"/>
      <sheetName val="_(6,7)22"/>
      <sheetName val="Skiving_Instruction_(1)22"/>
      <sheetName val="Spliting_Instructions22"/>
      <sheetName val="Tapering_Instructions22"/>
      <sheetName val="Marking_Location_(1)22"/>
      <sheetName val="Marking_Location_(2)22"/>
      <sheetName val="Trim_&amp;_Edge-painting22"/>
      <sheetName val="Reinforcement_Placement22"/>
      <sheetName val="Folding_Location22"/>
      <sheetName val="Pre-Buffing_Specification22"/>
      <sheetName val="Stitching_Instructions_(4)22"/>
      <sheetName val="Upper_Laser_Process-_Spec_22"/>
      <sheetName val="Upper_Laser_Process-Spec_(2)_22"/>
      <sheetName val="Upper_Laser_Process-Spec__(3)22"/>
      <sheetName val="Sockliner__Process22"/>
      <sheetName val="Outsole_Color_Schedule22"/>
      <sheetName val="Outsole_Preform_Specification35"/>
      <sheetName val="Outsole_Pressing_Process_22"/>
      <sheetName val="PU_CSS_CONFIRMATION22"/>
      <sheetName val="PU_CSS_Schedules22"/>
      <sheetName val="PU_Midsole_Spec_I22"/>
      <sheetName val="Stock_Fitting_Process_(8)22"/>
      <sheetName val="Stock_Fitting_Process_22"/>
      <sheetName val="Stock_Fitting_Process22"/>
      <sheetName val="Stock_Fitting_Process_(2)22"/>
      <sheetName val="Stock_Fitting_Process_(3)22"/>
      <sheetName val="Stockfit_BPFC22"/>
      <sheetName val="Assembling_Process22"/>
      <sheetName val="Assembling_Process_(2)22"/>
      <sheetName val="Assembly_BPFC22"/>
      <sheetName val="Production_Checklist22"/>
      <sheetName val="Sockliner_Specification22"/>
      <sheetName val="Upper_Measurement_Spec_22"/>
      <sheetName val="索引_(1)22"/>
      <sheetName val="沖孔規格說明_(2)22"/>
      <sheetName val="_削薄處指示說明22"/>
      <sheetName val="_削薄處指示說明_(2)22"/>
      <sheetName val="_削薄處指示說明_(3)22"/>
      <sheetName val="_削薄處指示說明_(4)22"/>
      <sheetName val="_削薄處指示說明_(5)22"/>
      <sheetName val="劃線印刷指示說明_(2)22"/>
      <sheetName val="劃線印刷指示說明_(3)22"/>
      <sheetName val="折邊指示說明_22"/>
      <sheetName val="針車流程_(2)22"/>
      <sheetName val="針車流程_(3)22"/>
      <sheetName val="針車流程_(4)22"/>
      <sheetName val="針車流程_(5)22"/>
      <sheetName val="針車流程_(6)22"/>
      <sheetName val="_鞋面印刷作業流程22"/>
      <sheetName val="_鞋面高週波作業流程_(2)22"/>
      <sheetName val="__鞋墊作業流程22"/>
      <sheetName val="Cover_313845-102((259_)_(2)22"/>
      <sheetName val="Index_(1)22"/>
      <sheetName val="Logo_Specification_(2)22"/>
      <sheetName val="Screen_Printing_(4)22"/>
      <sheetName val="Upper_HF_Welding_Process(5)22"/>
      <sheetName val="Index_(3)22"/>
      <sheetName val="Bottom_Component_Process_Spec22"/>
      <sheetName val="Stock_Fitting_Process_(4)22"/>
      <sheetName val="Stock_Fitting_Process_(5)22"/>
      <sheetName val="Stockfit_BPFC_(2)22"/>
      <sheetName val="Assembling_Process_(3)22"/>
      <sheetName val="Assembly_BPFC_(2)22"/>
      <sheetName val="Sockliner_Sublimation_Process22"/>
      <sheetName val="Cutting_D)e_(1)22"/>
      <sheetName val="Cutting_D)e_(2)22"/>
      <sheetName val="Cutting_D)e_(3)22"/>
      <sheetName val="Stitching_Instructio_s_(3)22"/>
      <sheetName val="output_per_jam22"/>
      <sheetName val="data_Productivity22"/>
      <sheetName val="MLT_22"/>
      <sheetName val="daily_BEP22"/>
      <sheetName val="178049A_XLS22"/>
      <sheetName val="LB_CUTTING_KUROBE22"/>
      <sheetName val="Cutting(3)_3_1722"/>
      <sheetName val="Cutting(5)_3_1322"/>
      <sheetName val="Cutting(6)3_1722"/>
      <sheetName val="Molding_Piece_Schedule22"/>
      <sheetName val="Perf_Specification_(1)22"/>
      <sheetName val="Perf_Specification_(2)22"/>
      <sheetName val="Skiving_Instruction_(3)22"/>
      <sheetName val="Skiving_Instruction_(4)22"/>
      <sheetName val="Skiving_Instruction_(5)22"/>
      <sheetName val="Tapering_Instructions_3_1322"/>
      <sheetName val="Marking_Location_(3)22"/>
      <sheetName val="Triming_edge_Instructions22"/>
      <sheetName val="Reinforcement_Placement_(1)22"/>
      <sheetName val="Reinforcement_Placement_(2)22"/>
      <sheetName val="Reinforcement_Placement_(2)2_32"/>
      <sheetName val="Reinforcement_Placement_(3)22"/>
      <sheetName val="Computer_Stitching_Schedule22"/>
      <sheetName val="Stitching_Overview_Sketch22"/>
      <sheetName val="Stitching_Instructions_(5)22"/>
      <sheetName val="Stitching_Instructions_(6)22"/>
      <sheetName val="Stitching_Instructions_(6)_3_32"/>
      <sheetName val="Stitching_Instructions_(7)22"/>
      <sheetName val="Upper_Injected_Compon_Pro__(122"/>
      <sheetName val="Upper_Injected_Compon_Pro__(222"/>
      <sheetName val="Upper_HF__Printing_Welding(1)22"/>
      <sheetName val="Upper_HF_Printing_Welding(2)22"/>
      <sheetName val="Upper_HF_Welding_Process_(3)22"/>
      <sheetName val="Upper_HF_Welding_Process_(4)22"/>
      <sheetName val="Upper_HF_Printing_Welding_(5)22"/>
      <sheetName val="Upper_HF_Welding_Process_(6)22"/>
      <sheetName val="CMP_PHYLON_CSS_CONFIRMATION22"/>
      <sheetName val="Phylon_Midsole_Spec_22"/>
      <sheetName val="Stock_Fitting_Process(3)22"/>
      <sheetName val="Stock_Fitting_Process_(6)22"/>
      <sheetName val="Stock_Fitting_Process_(7)22"/>
      <sheetName val="Upper_Weight_Control22"/>
      <sheetName val="Blank_Form22"/>
      <sheetName val="Raw_Data_Sheet22"/>
      <sheetName val="Cover_23"/>
      <sheetName val="Sheet1_23"/>
      <sheetName val="Index_23"/>
      <sheetName val="Spec1_23"/>
      <sheetName val="Spec__46"/>
      <sheetName val="Spec__47"/>
      <sheetName val="Spec_24"/>
      <sheetName val="Spec_623"/>
      <sheetName val="Spec7_23"/>
      <sheetName val="Spec8_23"/>
      <sheetName val="cutting___23"/>
      <sheetName val="Punch_Specification__23"/>
      <sheetName val="Logo_Specification23"/>
      <sheetName val="Strap_Specification23"/>
      <sheetName val="Part_&amp;_Group_Specification23"/>
      <sheetName val="Reinf_Placement23"/>
      <sheetName val="Skiving_instructions23"/>
      <sheetName val="Marking_locations23"/>
      <sheetName val="Folding_Locations23"/>
      <sheetName val="Stitching_Over_View23"/>
      <sheetName val="stitching_instructions_23"/>
      <sheetName val="Computer_stitched23"/>
      <sheetName val="Upper_Molded_Component_Spec__23"/>
      <sheetName val="Upper_Molded_Component_Proc__23"/>
      <sheetName val="Upper_Measurement_Spec23"/>
      <sheetName val="PFC_Revice23"/>
      <sheetName val="Cutting_Die_(1)23"/>
      <sheetName val="Cutting_Die_(2)23"/>
      <sheetName val="Cutting_Die_(3)23"/>
      <sheetName val="Perf_Specification23"/>
      <sheetName val="Marking_Location23"/>
      <sheetName val="Marking_Locations_(2)23"/>
      <sheetName val="Skiving_Instruction_(2)23"/>
      <sheetName val="Spliting_23"/>
      <sheetName val="Reinf__Placement_(1)23"/>
      <sheetName val="Reinf__Placement_(2)23"/>
      <sheetName val="Stitching_Instructions_(1)23"/>
      <sheetName val="Stitching_Instructions_(2)23"/>
      <sheetName val="Stitching_Instructions_(3)23"/>
      <sheetName val="Computer_Stitching_23"/>
      <sheetName val="Upper_Molded_Component_Spec_23"/>
      <sheetName val="PHYLON_CSS23"/>
      <sheetName val="PHYLON_CSS_SCHEDULES23"/>
      <sheetName val="PHYLON_CSS_CONFIRMATION23"/>
      <sheetName val="Outsole_Color_23"/>
      <sheetName val="Outsole_Preform_Specification36"/>
      <sheetName val="Outsole_Pressing_Process23"/>
      <sheetName val="Outsole_Degreasing_Process_23"/>
      <sheetName val="Stock_Fiting_UV-Light_Proce_23"/>
      <sheetName val="Stock_Fiting_Process_23"/>
      <sheetName val="IY_06_0723"/>
      <sheetName val="Assembly_UV-Light_Process__23"/>
      <sheetName val="Assembly_Process_6,7_23"/>
      <sheetName val="Assembly_Process_6,723"/>
      <sheetName val="IY08_09_1023"/>
      <sheetName val="Assembly_Process_8,9,10_23"/>
      <sheetName val="Assembly_Process_8,9,10_(2_)23"/>
      <sheetName val="Back_Part_Moulding_(Soccer_TP23"/>
      <sheetName val="Ecosole_Instructions_23"/>
      <sheetName val="Sockliner_Instructions23"/>
      <sheetName val="Sock_Liner_Spec_23"/>
      <sheetName val="_(6,7)23"/>
      <sheetName val="Skiving_Instruction_(1)23"/>
      <sheetName val="Spliting_Instructions23"/>
      <sheetName val="Tapering_Instructions23"/>
      <sheetName val="Marking_Location_(1)23"/>
      <sheetName val="Marking_Location_(2)23"/>
      <sheetName val="Trim_&amp;_Edge-painting23"/>
      <sheetName val="Reinforcement_Placement23"/>
      <sheetName val="Folding_Location23"/>
      <sheetName val="Pre-Buffing_Specification23"/>
      <sheetName val="Stitching_Instructions_(4)23"/>
      <sheetName val="Upper_Laser_Process-_Spec_23"/>
      <sheetName val="Upper_Laser_Process-Spec_(2)_23"/>
      <sheetName val="Upper_Laser_Process-Spec__(3)23"/>
      <sheetName val="Sockliner__Process23"/>
      <sheetName val="Outsole_Color_Schedule23"/>
      <sheetName val="Outsole_Preform_Specification37"/>
      <sheetName val="Outsole_Pressing_Process_23"/>
      <sheetName val="PU_CSS_CONFIRMATION23"/>
      <sheetName val="PU_CSS_Schedules23"/>
      <sheetName val="PU_Midsole_Spec_I23"/>
      <sheetName val="Stock_Fitting_Process_(8)23"/>
      <sheetName val="Stock_Fitting_Process_23"/>
      <sheetName val="Stock_Fitting_Process23"/>
      <sheetName val="Stock_Fitting_Process_(2)23"/>
      <sheetName val="Stock_Fitting_Process_(3)23"/>
      <sheetName val="Stockfit_BPFC23"/>
      <sheetName val="Assembling_Process23"/>
      <sheetName val="Assembling_Process_(2)23"/>
      <sheetName val="Assembly_BPFC23"/>
      <sheetName val="Production_Checklist23"/>
      <sheetName val="Sockliner_Specification23"/>
      <sheetName val="Upper_Measurement_Spec_23"/>
      <sheetName val="索引_(1)23"/>
      <sheetName val="沖孔規格說明_(2)23"/>
      <sheetName val="_削薄處指示說明23"/>
      <sheetName val="_削薄處指示說明_(2)23"/>
      <sheetName val="_削薄處指示說明_(3)23"/>
      <sheetName val="_削薄處指示說明_(4)23"/>
      <sheetName val="_削薄處指示說明_(5)23"/>
      <sheetName val="劃線印刷指示說明_(2)23"/>
      <sheetName val="劃線印刷指示說明_(3)23"/>
      <sheetName val="折邊指示說明_23"/>
      <sheetName val="針車流程_(2)23"/>
      <sheetName val="針車流程_(3)23"/>
      <sheetName val="針車流程_(4)23"/>
      <sheetName val="針車流程_(5)23"/>
      <sheetName val="針車流程_(6)23"/>
      <sheetName val="_鞋面印刷作業流程23"/>
      <sheetName val="_鞋面高週波作業流程_(2)23"/>
      <sheetName val="__鞋墊作業流程23"/>
      <sheetName val="Cover_313845-102((259_)_(2)23"/>
      <sheetName val="Index_(1)23"/>
      <sheetName val="Logo_Specification_(2)23"/>
      <sheetName val="Screen_Printing_(4)23"/>
      <sheetName val="Upper_HF_Welding_Process(5)23"/>
      <sheetName val="Index_(3)23"/>
      <sheetName val="Bottom_Component_Process_Spec23"/>
      <sheetName val="Stock_Fitting_Process_(4)23"/>
      <sheetName val="Stock_Fitting_Process_(5)23"/>
      <sheetName val="Stockfit_BPFC_(2)23"/>
      <sheetName val="Assembling_Process_(3)23"/>
      <sheetName val="Assembly_BPFC_(2)23"/>
      <sheetName val="Sockliner_Sublimation_Process23"/>
      <sheetName val="Cutting_D)e_(1)23"/>
      <sheetName val="Cutting_D)e_(2)23"/>
      <sheetName val="Cutting_D)e_(3)23"/>
      <sheetName val="Stitching_Instructio_s_(3)23"/>
      <sheetName val="output_per_jam23"/>
      <sheetName val="data_Productivity23"/>
      <sheetName val="MLT_23"/>
      <sheetName val="daily_BEP23"/>
      <sheetName val="178049A_XLS23"/>
      <sheetName val="LB_CUTTING_KUROBE23"/>
      <sheetName val="Cutting(3)_3_1723"/>
      <sheetName val="Cutting(5)_3_1323"/>
      <sheetName val="Cutting(6)3_1723"/>
      <sheetName val="Molding_Piece_Schedule23"/>
      <sheetName val="Perf_Specification_(1)23"/>
      <sheetName val="Perf_Specification_(2)23"/>
      <sheetName val="Skiving_Instruction_(3)23"/>
      <sheetName val="Skiving_Instruction_(4)23"/>
      <sheetName val="Skiving_Instruction_(5)23"/>
      <sheetName val="Tapering_Instructions_3_1323"/>
      <sheetName val="Marking_Location_(3)23"/>
      <sheetName val="Triming_edge_Instructions23"/>
      <sheetName val="Reinforcement_Placement_(1)23"/>
      <sheetName val="Reinforcement_Placement_(2)23"/>
      <sheetName val="Reinforcement_Placement_(2)2_33"/>
      <sheetName val="Reinforcement_Placement_(3)23"/>
      <sheetName val="Computer_Stitching_Schedule23"/>
      <sheetName val="Stitching_Overview_Sketch23"/>
      <sheetName val="Stitching_Instructions_(5)23"/>
      <sheetName val="Stitching_Instructions_(6)23"/>
      <sheetName val="Stitching_Instructions_(6)_3_33"/>
      <sheetName val="Stitching_Instructions_(7)23"/>
      <sheetName val="Upper_Injected_Compon_Pro__(123"/>
      <sheetName val="Upper_Injected_Compon_Pro__(223"/>
      <sheetName val="Upper_HF__Printing_Welding(1)23"/>
      <sheetName val="Upper_HF_Printing_Welding(2)23"/>
      <sheetName val="Upper_HF_Welding_Process_(3)23"/>
      <sheetName val="Upper_HF_Welding_Process_(4)23"/>
      <sheetName val="Upper_HF_Printing_Welding_(5)23"/>
      <sheetName val="Upper_HF_Welding_Process_(6)23"/>
      <sheetName val="CMP_PHYLON_CSS_CONFIRMATION23"/>
      <sheetName val="Phylon_Midsole_Spec_23"/>
      <sheetName val="Stock_Fitting_Process(3)23"/>
      <sheetName val="Stock_Fitting_Process_(6)23"/>
      <sheetName val="Stock_Fitting_Process_(7)23"/>
      <sheetName val="Upper_Weight_Control23"/>
      <sheetName val="Blank_Form23"/>
      <sheetName val="Raw_Data_Sheet23"/>
      <sheetName val="Cover_24"/>
      <sheetName val="Sheet1_24"/>
      <sheetName val="Index_24"/>
      <sheetName val="Spec1_24"/>
      <sheetName val="Spec__48"/>
      <sheetName val="Spec__49"/>
      <sheetName val="Spec_25"/>
      <sheetName val="Spec_624"/>
      <sheetName val="Spec7_24"/>
      <sheetName val="Spec8_24"/>
      <sheetName val="cutting___24"/>
      <sheetName val="Punch_Specification__24"/>
      <sheetName val="Logo_Specification24"/>
      <sheetName val="Strap_Specification24"/>
      <sheetName val="Part_&amp;_Group_Specification24"/>
      <sheetName val="Reinf_Placement24"/>
      <sheetName val="Skiving_instructions24"/>
      <sheetName val="Marking_locations24"/>
      <sheetName val="Folding_Locations24"/>
      <sheetName val="Stitching_Over_View24"/>
      <sheetName val="stitching_instructions_24"/>
      <sheetName val="Computer_stitched24"/>
      <sheetName val="Upper_Molded_Component_Spec__24"/>
      <sheetName val="Upper_Molded_Component_Proc__24"/>
      <sheetName val="Upper_Measurement_Spec24"/>
      <sheetName val="PFC_Revice24"/>
      <sheetName val="Cutting_Die_(1)24"/>
      <sheetName val="Cutting_Die_(2)24"/>
      <sheetName val="Cutting_Die_(3)24"/>
      <sheetName val="Perf_Specification24"/>
      <sheetName val="Marking_Location24"/>
      <sheetName val="Marking_Locations_(2)24"/>
      <sheetName val="Skiving_Instruction_(2)24"/>
      <sheetName val="Spliting_24"/>
      <sheetName val="Reinf__Placement_(1)24"/>
      <sheetName val="Reinf__Placement_(2)24"/>
      <sheetName val="Stitching_Instructions_(1)24"/>
      <sheetName val="Stitching_Instructions_(2)24"/>
      <sheetName val="Stitching_Instructions_(3)24"/>
      <sheetName val="Computer_Stitching_24"/>
      <sheetName val="Upper_Molded_Component_Spec_24"/>
      <sheetName val="PHYLON_CSS24"/>
      <sheetName val="PHYLON_CSS_SCHEDULES24"/>
      <sheetName val="PHYLON_CSS_CONFIRMATION24"/>
      <sheetName val="Outsole_Color_24"/>
      <sheetName val="Outsole_Preform_Specification38"/>
      <sheetName val="Outsole_Pressing_Process24"/>
      <sheetName val="Outsole_Degreasing_Process_24"/>
      <sheetName val="Stock_Fiting_UV-Light_Proce_24"/>
      <sheetName val="Stock_Fiting_Process_24"/>
      <sheetName val="IY_06_0724"/>
      <sheetName val="Assembly_UV-Light_Process__24"/>
      <sheetName val="Assembly_Process_6,7_24"/>
      <sheetName val="Assembly_Process_6,724"/>
      <sheetName val="IY08_09_1024"/>
      <sheetName val="Assembly_Process_8,9,10_24"/>
      <sheetName val="Assembly_Process_8,9,10_(2_)24"/>
      <sheetName val="Back_Part_Moulding_(Soccer_TP24"/>
      <sheetName val="Ecosole_Instructions_24"/>
      <sheetName val="Sockliner_Instructions24"/>
      <sheetName val="Sock_Liner_Spec_24"/>
      <sheetName val="_(6,7)24"/>
      <sheetName val="Skiving_Instruction_(1)24"/>
      <sheetName val="Spliting_Instructions24"/>
      <sheetName val="Tapering_Instructions24"/>
      <sheetName val="Marking_Location_(1)24"/>
      <sheetName val="Marking_Location_(2)24"/>
      <sheetName val="Trim_&amp;_Edge-painting24"/>
      <sheetName val="Reinforcement_Placement24"/>
      <sheetName val="Folding_Location24"/>
      <sheetName val="Pre-Buffing_Specification24"/>
      <sheetName val="Stitching_Instructions_(4)24"/>
      <sheetName val="Upper_Laser_Process-_Spec_24"/>
      <sheetName val="Upper_Laser_Process-Spec_(2)_24"/>
      <sheetName val="Upper_Laser_Process-Spec__(3)24"/>
      <sheetName val="Sockliner__Process24"/>
      <sheetName val="Outsole_Color_Schedule24"/>
      <sheetName val="Outsole_Preform_Specification39"/>
      <sheetName val="Outsole_Pressing_Process_24"/>
      <sheetName val="PU_CSS_CONFIRMATION24"/>
      <sheetName val="PU_CSS_Schedules24"/>
      <sheetName val="PU_Midsole_Spec_I24"/>
      <sheetName val="Stock_Fitting_Process_(8)24"/>
      <sheetName val="Stock_Fitting_Process_24"/>
      <sheetName val="Stock_Fitting_Process24"/>
      <sheetName val="Stock_Fitting_Process_(2)24"/>
      <sheetName val="Stock_Fitting_Process_(3)24"/>
      <sheetName val="Stockfit_BPFC24"/>
      <sheetName val="Assembling_Process24"/>
      <sheetName val="Assembling_Process_(2)24"/>
      <sheetName val="Assembly_BPFC24"/>
      <sheetName val="Production_Checklist24"/>
      <sheetName val="Sockliner_Specification24"/>
      <sheetName val="Upper_Measurement_Spec_24"/>
      <sheetName val="索引_(1)24"/>
      <sheetName val="沖孔規格說明_(2)24"/>
      <sheetName val="_削薄處指示說明24"/>
      <sheetName val="_削薄處指示說明_(2)24"/>
      <sheetName val="_削薄處指示說明_(3)24"/>
      <sheetName val="_削薄處指示說明_(4)24"/>
      <sheetName val="_削薄處指示說明_(5)24"/>
      <sheetName val="劃線印刷指示說明_(2)24"/>
      <sheetName val="劃線印刷指示說明_(3)24"/>
      <sheetName val="折邊指示說明_24"/>
      <sheetName val="針車流程_(2)24"/>
      <sheetName val="針車流程_(3)24"/>
      <sheetName val="針車流程_(4)24"/>
      <sheetName val="針車流程_(5)24"/>
      <sheetName val="針車流程_(6)24"/>
      <sheetName val="_鞋面印刷作業流程24"/>
      <sheetName val="_鞋面高週波作業流程_(2)24"/>
      <sheetName val="__鞋墊作業流程24"/>
      <sheetName val="Cover_313845-102((259_)_(2)24"/>
      <sheetName val="Index_(1)24"/>
      <sheetName val="Logo_Specification_(2)24"/>
      <sheetName val="Screen_Printing_(4)24"/>
      <sheetName val="Upper_HF_Welding_Process(5)24"/>
      <sheetName val="Index_(3)24"/>
      <sheetName val="Bottom_Component_Process_Spec24"/>
      <sheetName val="Stock_Fitting_Process_(4)24"/>
      <sheetName val="Stock_Fitting_Process_(5)24"/>
      <sheetName val="Stockfit_BPFC_(2)24"/>
      <sheetName val="Assembling_Process_(3)24"/>
      <sheetName val="Assembly_BPFC_(2)24"/>
      <sheetName val="Sockliner_Sublimation_Process24"/>
      <sheetName val="Cutting_D)e_(1)24"/>
      <sheetName val="Cutting_D)e_(2)24"/>
      <sheetName val="Cutting_D)e_(3)24"/>
      <sheetName val="Stitching_Instructio_s_(3)24"/>
      <sheetName val="output_per_jam24"/>
      <sheetName val="data_Productivity24"/>
      <sheetName val="MLT_24"/>
      <sheetName val="daily_BEP24"/>
      <sheetName val="178049A_XLS24"/>
      <sheetName val="LB_CUTTING_KUROBE24"/>
      <sheetName val="Cutting(3)_3_1724"/>
      <sheetName val="Cutting(5)_3_1324"/>
      <sheetName val="Cutting(6)3_1724"/>
      <sheetName val="Molding_Piece_Schedule24"/>
      <sheetName val="Perf_Specification_(1)24"/>
      <sheetName val="Perf_Specification_(2)24"/>
      <sheetName val="Skiving_Instruction_(3)24"/>
      <sheetName val="Skiving_Instruction_(4)24"/>
      <sheetName val="Skiving_Instruction_(5)24"/>
      <sheetName val="Tapering_Instructions_3_1324"/>
      <sheetName val="Marking_Location_(3)24"/>
      <sheetName val="Triming_edge_Instructions24"/>
      <sheetName val="Reinforcement_Placement_(1)24"/>
      <sheetName val="Reinforcement_Placement_(2)24"/>
      <sheetName val="Reinforcement_Placement_(2)2_34"/>
      <sheetName val="Reinforcement_Placement_(3)24"/>
      <sheetName val="Computer_Stitching_Schedule24"/>
      <sheetName val="Stitching_Overview_Sketch24"/>
      <sheetName val="Stitching_Instructions_(5)24"/>
      <sheetName val="Stitching_Instructions_(6)24"/>
      <sheetName val="Stitching_Instructions_(6)_3_34"/>
      <sheetName val="Stitching_Instructions_(7)24"/>
      <sheetName val="Upper_Injected_Compon_Pro__(124"/>
      <sheetName val="Upper_Injected_Compon_Pro__(224"/>
      <sheetName val="Upper_HF__Printing_Welding(1)24"/>
      <sheetName val="Upper_HF_Printing_Welding(2)24"/>
      <sheetName val="Upper_HF_Welding_Process_(3)24"/>
      <sheetName val="Upper_HF_Welding_Process_(4)24"/>
      <sheetName val="Upper_HF_Printing_Welding_(5)24"/>
      <sheetName val="Upper_HF_Welding_Process_(6)24"/>
      <sheetName val="CMP_PHYLON_CSS_CONFIRMATION24"/>
      <sheetName val="Phylon_Midsole_Spec_24"/>
      <sheetName val="Stock_Fitting_Process(3)24"/>
      <sheetName val="Stock_Fitting_Process_(6)24"/>
      <sheetName val="Stock_Fitting_Process_(7)24"/>
      <sheetName val="Upper_Weight_Control24"/>
      <sheetName val="Blank_Form24"/>
      <sheetName val="Raw_Data_Sheet24"/>
      <sheetName val="Cover_25"/>
      <sheetName val="Sheet1_25"/>
      <sheetName val="Index_25"/>
      <sheetName val="Spec1_25"/>
      <sheetName val="Spec__50"/>
      <sheetName val="Spec__51"/>
      <sheetName val="Spec_26"/>
      <sheetName val="Spec_625"/>
      <sheetName val="Spec7_25"/>
      <sheetName val="Spec8_25"/>
      <sheetName val="cutting___25"/>
      <sheetName val="Punch_Specification__25"/>
      <sheetName val="Logo_Specification25"/>
      <sheetName val="Strap_Specification25"/>
      <sheetName val="Part_&amp;_Group_Specification25"/>
      <sheetName val="Reinf_Placement25"/>
      <sheetName val="Skiving_instructions25"/>
      <sheetName val="Marking_locations25"/>
      <sheetName val="Folding_Locations25"/>
      <sheetName val="Stitching_Over_View25"/>
      <sheetName val="stitching_instructions_25"/>
      <sheetName val="Computer_stitched25"/>
      <sheetName val="Upper_Molded_Component_Spec__25"/>
      <sheetName val="Upper_Molded_Component_Proc__25"/>
      <sheetName val="Upper_Measurement_Spec25"/>
      <sheetName val="PFC_Revice25"/>
      <sheetName val="Cutting_Die_(1)25"/>
      <sheetName val="Cutting_Die_(2)25"/>
      <sheetName val="Cutting_Die_(3)25"/>
      <sheetName val="Perf_Specification25"/>
      <sheetName val="Marking_Location25"/>
      <sheetName val="Marking_Locations_(2)25"/>
      <sheetName val="Skiving_Instruction_(2)25"/>
      <sheetName val="Spliting_25"/>
      <sheetName val="Reinf__Placement_(1)25"/>
      <sheetName val="Reinf__Placement_(2)25"/>
      <sheetName val="Stitching_Instructions_(1)25"/>
      <sheetName val="Stitching_Instructions_(2)25"/>
      <sheetName val="Stitching_Instructions_(3)25"/>
      <sheetName val="Computer_Stitching_25"/>
      <sheetName val="Upper_Molded_Component_Spec_25"/>
      <sheetName val="PHYLON_CSS25"/>
      <sheetName val="PHYLON_CSS_SCHEDULES25"/>
      <sheetName val="PHYLON_CSS_CONFIRMATION25"/>
      <sheetName val="Outsole_Color_25"/>
      <sheetName val="Outsole_Preform_Specification40"/>
      <sheetName val="Outsole_Pressing_Process25"/>
      <sheetName val="Outsole_Degreasing_Process_25"/>
      <sheetName val="Stock_Fiting_UV-Light_Proce_25"/>
      <sheetName val="Stock_Fiting_Process_25"/>
      <sheetName val="IY_06_0725"/>
      <sheetName val="Assembly_UV-Light_Process__25"/>
      <sheetName val="Assembly_Process_6,7_25"/>
      <sheetName val="Assembly_Process_6,725"/>
      <sheetName val="IY08_09_1025"/>
      <sheetName val="Assembly_Process_8,9,10_25"/>
      <sheetName val="Assembly_Process_8,9,10_(2_)25"/>
      <sheetName val="Back_Part_Moulding_(Soccer_TP25"/>
      <sheetName val="Ecosole_Instructions_25"/>
      <sheetName val="Sockliner_Instructions25"/>
      <sheetName val="Sock_Liner_Spec_25"/>
      <sheetName val="_(6,7)25"/>
      <sheetName val="Skiving_Instruction_(1)25"/>
      <sheetName val="Spliting_Instructions25"/>
      <sheetName val="Tapering_Instructions25"/>
      <sheetName val="Marking_Location_(1)25"/>
      <sheetName val="Marking_Location_(2)25"/>
      <sheetName val="Trim_&amp;_Edge-painting25"/>
      <sheetName val="Reinforcement_Placement25"/>
      <sheetName val="Folding_Location25"/>
      <sheetName val="Pre-Buffing_Specification25"/>
      <sheetName val="Stitching_Instructions_(4)25"/>
      <sheetName val="Upper_Laser_Process-_Spec_25"/>
      <sheetName val="Upper_Laser_Process-Spec_(2)_25"/>
      <sheetName val="Upper_Laser_Process-Spec__(3)25"/>
      <sheetName val="Sockliner__Process25"/>
      <sheetName val="Outsole_Color_Schedule25"/>
      <sheetName val="Outsole_Preform_Specification41"/>
      <sheetName val="Outsole_Pressing_Process_25"/>
      <sheetName val="PU_CSS_CONFIRMATION25"/>
      <sheetName val="PU_CSS_Schedules25"/>
      <sheetName val="PU_Midsole_Spec_I25"/>
      <sheetName val="Stock_Fitting_Process_(8)25"/>
      <sheetName val="Stock_Fitting_Process_25"/>
      <sheetName val="Stock_Fitting_Process25"/>
      <sheetName val="Stock_Fitting_Process_(2)25"/>
      <sheetName val="Stock_Fitting_Process_(3)25"/>
      <sheetName val="Stockfit_BPFC25"/>
      <sheetName val="Assembling_Process25"/>
      <sheetName val="Assembling_Process_(2)25"/>
      <sheetName val="Assembly_BPFC25"/>
      <sheetName val="Production_Checklist25"/>
      <sheetName val="Sockliner_Specification25"/>
      <sheetName val="Upper_Measurement_Spec_25"/>
      <sheetName val="索引_(1)25"/>
      <sheetName val="沖孔規格說明_(2)25"/>
      <sheetName val="_削薄處指示說明25"/>
      <sheetName val="_削薄處指示說明_(2)25"/>
      <sheetName val="_削薄處指示說明_(3)25"/>
      <sheetName val="_削薄處指示說明_(4)25"/>
      <sheetName val="_削薄處指示說明_(5)25"/>
      <sheetName val="劃線印刷指示說明_(2)25"/>
      <sheetName val="劃線印刷指示說明_(3)25"/>
      <sheetName val="折邊指示說明_25"/>
      <sheetName val="針車流程_(2)25"/>
      <sheetName val="針車流程_(3)25"/>
      <sheetName val="針車流程_(4)25"/>
      <sheetName val="針車流程_(5)25"/>
      <sheetName val="針車流程_(6)25"/>
      <sheetName val="_鞋面印刷作業流程25"/>
      <sheetName val="_鞋面高週波作業流程_(2)25"/>
      <sheetName val="__鞋墊作業流程25"/>
      <sheetName val="Cover_313845-102((259_)_(2)25"/>
      <sheetName val="Index_(1)25"/>
      <sheetName val="Logo_Specification_(2)25"/>
      <sheetName val="Screen_Printing_(4)25"/>
      <sheetName val="Upper_HF_Welding_Process(5)25"/>
      <sheetName val="Index_(3)25"/>
      <sheetName val="Bottom_Component_Process_Spec25"/>
      <sheetName val="Stock_Fitting_Process_(4)25"/>
      <sheetName val="Stock_Fitting_Process_(5)25"/>
      <sheetName val="Stockfit_BPFC_(2)25"/>
      <sheetName val="Assembling_Process_(3)25"/>
      <sheetName val="Assembly_BPFC_(2)25"/>
      <sheetName val="Sockliner_Sublimation_Process25"/>
      <sheetName val="Cutting_D)e_(1)25"/>
      <sheetName val="Cutting_D)e_(2)25"/>
      <sheetName val="Cutting_D)e_(3)25"/>
      <sheetName val="Stitching_Instructio_s_(3)25"/>
      <sheetName val="output_per_jam25"/>
      <sheetName val="data_Productivity25"/>
      <sheetName val="MLT_25"/>
      <sheetName val="daily_BEP25"/>
      <sheetName val="178049A_XLS25"/>
      <sheetName val="LB_CUTTING_KUROBE25"/>
      <sheetName val="Cutting(3)_3_1725"/>
      <sheetName val="Cutting(5)_3_1325"/>
      <sheetName val="Cutting(6)3_1725"/>
      <sheetName val="Molding_Piece_Schedule25"/>
      <sheetName val="Perf_Specification_(1)25"/>
      <sheetName val="Perf_Specification_(2)25"/>
      <sheetName val="Skiving_Instruction_(3)25"/>
      <sheetName val="Skiving_Instruction_(4)25"/>
      <sheetName val="Skiving_Instruction_(5)25"/>
      <sheetName val="Tapering_Instructions_3_1325"/>
      <sheetName val="Marking_Location_(3)25"/>
      <sheetName val="Triming_edge_Instructions25"/>
      <sheetName val="Reinforcement_Placement_(1)25"/>
      <sheetName val="Reinforcement_Placement_(2)25"/>
      <sheetName val="Reinforcement_Placement_(2)2_35"/>
      <sheetName val="Reinforcement_Placement_(3)25"/>
      <sheetName val="Computer_Stitching_Schedule25"/>
      <sheetName val="Stitching_Overview_Sketch25"/>
      <sheetName val="Stitching_Instructions_(5)25"/>
      <sheetName val="Stitching_Instructions_(6)25"/>
      <sheetName val="Stitching_Instructions_(6)_3_35"/>
      <sheetName val="Stitching_Instructions_(7)25"/>
      <sheetName val="Upper_Injected_Compon_Pro__(125"/>
      <sheetName val="Upper_Injected_Compon_Pro__(225"/>
      <sheetName val="Upper_HF__Printing_Welding(1)25"/>
      <sheetName val="Upper_HF_Printing_Welding(2)25"/>
      <sheetName val="Upper_HF_Welding_Process_(3)25"/>
      <sheetName val="Upper_HF_Welding_Process_(4)25"/>
      <sheetName val="Upper_HF_Printing_Welding_(5)25"/>
      <sheetName val="Upper_HF_Welding_Process_(6)25"/>
      <sheetName val="CMP_PHYLON_CSS_CONFIRMATION25"/>
      <sheetName val="Phylon_Midsole_Spec_25"/>
      <sheetName val="Stock_Fitting_Process(3)25"/>
      <sheetName val="Stock_Fitting_Process_(6)25"/>
      <sheetName val="Stock_Fitting_Process_(7)25"/>
      <sheetName val="Upper_Weight_Control25"/>
      <sheetName val="Blank_Form25"/>
      <sheetName val="Raw_Data_Sheet25"/>
      <sheetName val="Cover_26"/>
      <sheetName val="Sheet1_26"/>
      <sheetName val="Index_26"/>
      <sheetName val="Spec1_26"/>
      <sheetName val="Spec__52"/>
      <sheetName val="Spec__53"/>
      <sheetName val="Spec_27"/>
      <sheetName val="Spec_626"/>
      <sheetName val="Spec7_26"/>
      <sheetName val="Spec8_26"/>
      <sheetName val="cutting___26"/>
      <sheetName val="Punch_Specification__26"/>
      <sheetName val="Logo_Specification26"/>
      <sheetName val="Strap_Specification26"/>
      <sheetName val="Part_&amp;_Group_Specification26"/>
      <sheetName val="Reinf_Placement26"/>
      <sheetName val="Skiving_instructions26"/>
      <sheetName val="Marking_locations26"/>
      <sheetName val="Folding_Locations26"/>
      <sheetName val="Stitching_Over_View26"/>
      <sheetName val="stitching_instructions_26"/>
      <sheetName val="Computer_stitched26"/>
      <sheetName val="Upper_Molded_Component_Spec__26"/>
      <sheetName val="Upper_Molded_Component_Proc__26"/>
      <sheetName val="Upper_Measurement_Spec26"/>
      <sheetName val="PFC_Revice26"/>
      <sheetName val="Cutting_Die_(1)26"/>
      <sheetName val="Cutting_Die_(2)26"/>
      <sheetName val="Cutting_Die_(3)26"/>
      <sheetName val="Perf_Specification26"/>
      <sheetName val="Marking_Location26"/>
      <sheetName val="Marking_Locations_(2)26"/>
      <sheetName val="Skiving_Instruction_(2)26"/>
      <sheetName val="Spliting_26"/>
      <sheetName val="Reinf__Placement_(1)26"/>
      <sheetName val="Reinf__Placement_(2)26"/>
      <sheetName val="Stitching_Instructions_(1)26"/>
      <sheetName val="Stitching_Instructions_(2)26"/>
      <sheetName val="Stitching_Instructions_(3)26"/>
      <sheetName val="Computer_Stitching_26"/>
      <sheetName val="Upper_Molded_Component_Spec_26"/>
      <sheetName val="PHYLON_CSS26"/>
      <sheetName val="PHYLON_CSS_SCHEDULES26"/>
      <sheetName val="PHYLON_CSS_CONFIRMATION26"/>
      <sheetName val="Outsole_Color_26"/>
      <sheetName val="Outsole_Preform_Specification42"/>
      <sheetName val="Outsole_Pressing_Process26"/>
      <sheetName val="Outsole_Degreasing_Process_26"/>
      <sheetName val="Stock_Fiting_UV-Light_Proce_26"/>
      <sheetName val="Stock_Fiting_Process_26"/>
      <sheetName val="IY_06_0726"/>
      <sheetName val="Assembly_UV-Light_Process__26"/>
      <sheetName val="Assembly_Process_6,7_26"/>
      <sheetName val="Assembly_Process_6,726"/>
      <sheetName val="IY08_09_1026"/>
      <sheetName val="Assembly_Process_8,9,10_26"/>
      <sheetName val="Assembly_Process_8,9,10_(2_)26"/>
      <sheetName val="Back_Part_Moulding_(Soccer_TP26"/>
      <sheetName val="Ecosole_Instructions_26"/>
      <sheetName val="Sockliner_Instructions26"/>
      <sheetName val="Sock_Liner_Spec_26"/>
      <sheetName val="_(6,7)26"/>
      <sheetName val="Skiving_Instruction_(1)26"/>
      <sheetName val="Spliting_Instructions26"/>
      <sheetName val="Tapering_Instructions26"/>
      <sheetName val="Marking_Location_(1)26"/>
      <sheetName val="Marking_Location_(2)26"/>
      <sheetName val="Trim_&amp;_Edge-painting26"/>
      <sheetName val="Reinforcement_Placement26"/>
      <sheetName val="Folding_Location26"/>
      <sheetName val="Pre-Buffing_Specification26"/>
      <sheetName val="Stitching_Instructions_(4)26"/>
      <sheetName val="Upper_Laser_Process-_Spec_26"/>
      <sheetName val="Upper_Laser_Process-Spec_(2)_26"/>
      <sheetName val="Upper_Laser_Process-Spec__(3)26"/>
      <sheetName val="Sockliner__Process26"/>
      <sheetName val="Outsole_Color_Schedule26"/>
      <sheetName val="Outsole_Preform_Specification43"/>
      <sheetName val="Outsole_Pressing_Process_26"/>
      <sheetName val="PU_CSS_CONFIRMATION26"/>
      <sheetName val="PU_CSS_Schedules26"/>
      <sheetName val="PU_Midsole_Spec_I26"/>
      <sheetName val="Stock_Fitting_Process_(8)26"/>
      <sheetName val="Stock_Fitting_Process_26"/>
      <sheetName val="Stock_Fitting_Process26"/>
      <sheetName val="Stock_Fitting_Process_(2)26"/>
      <sheetName val="Stock_Fitting_Process_(3)26"/>
      <sheetName val="Stockfit_BPFC26"/>
      <sheetName val="Assembling_Process26"/>
      <sheetName val="Assembling_Process_(2)26"/>
      <sheetName val="Assembly_BPFC26"/>
      <sheetName val="Production_Checklist26"/>
      <sheetName val="Sockliner_Specification26"/>
      <sheetName val="Upper_Measurement_Spec_26"/>
      <sheetName val="索引_(1)26"/>
      <sheetName val="沖孔規格說明_(2)26"/>
      <sheetName val="_削薄處指示說明26"/>
      <sheetName val="_削薄處指示說明_(2)26"/>
      <sheetName val="_削薄處指示說明_(3)26"/>
      <sheetName val="_削薄處指示說明_(4)26"/>
      <sheetName val="_削薄處指示說明_(5)26"/>
      <sheetName val="劃線印刷指示說明_(2)26"/>
      <sheetName val="劃線印刷指示說明_(3)26"/>
      <sheetName val="折邊指示說明_26"/>
      <sheetName val="針車流程_(2)26"/>
      <sheetName val="針車流程_(3)26"/>
      <sheetName val="針車流程_(4)26"/>
      <sheetName val="針車流程_(5)26"/>
      <sheetName val="針車流程_(6)26"/>
      <sheetName val="_鞋面印刷作業流程26"/>
      <sheetName val="_鞋面高週波作業流程_(2)26"/>
      <sheetName val="__鞋墊作業流程26"/>
      <sheetName val="Cover_313845-102((259_)_(2)26"/>
      <sheetName val="Index_(1)26"/>
      <sheetName val="Logo_Specification_(2)26"/>
      <sheetName val="Screen_Printing_(4)26"/>
      <sheetName val="Upper_HF_Welding_Process(5)26"/>
      <sheetName val="Index_(3)26"/>
      <sheetName val="Bottom_Component_Process_Spec26"/>
      <sheetName val="Stock_Fitting_Process_(4)26"/>
      <sheetName val="Stock_Fitting_Process_(5)26"/>
      <sheetName val="Stockfit_BPFC_(2)26"/>
      <sheetName val="Assembling_Process_(3)26"/>
      <sheetName val="Assembly_BPFC_(2)26"/>
      <sheetName val="Sockliner_Sublimation_Process26"/>
      <sheetName val="Cutting_D)e_(1)26"/>
      <sheetName val="Cutting_D)e_(2)26"/>
      <sheetName val="Cutting_D)e_(3)26"/>
      <sheetName val="Stitching_Instructio_s_(3)26"/>
      <sheetName val="output_per_jam26"/>
      <sheetName val="data_Productivity26"/>
      <sheetName val="MLT_26"/>
      <sheetName val="daily_BEP26"/>
      <sheetName val="178049A_XLS26"/>
      <sheetName val="LB_CUTTING_KUROBE26"/>
      <sheetName val="Cutting(3)_3_1726"/>
      <sheetName val="Cutting(5)_3_1326"/>
      <sheetName val="Cutting(6)3_1726"/>
      <sheetName val="Molding_Piece_Schedule26"/>
      <sheetName val="Perf_Specification_(1)26"/>
      <sheetName val="Perf_Specification_(2)26"/>
      <sheetName val="Skiving_Instruction_(3)26"/>
      <sheetName val="Skiving_Instruction_(4)26"/>
      <sheetName val="Skiving_Instruction_(5)26"/>
      <sheetName val="Tapering_Instructions_3_1326"/>
      <sheetName val="Marking_Location_(3)26"/>
      <sheetName val="Triming_edge_Instructions26"/>
      <sheetName val="Reinforcement_Placement_(1)26"/>
      <sheetName val="Reinforcement_Placement_(2)26"/>
      <sheetName val="Reinforcement_Placement_(2)2_36"/>
      <sheetName val="Reinforcement_Placement_(3)26"/>
      <sheetName val="Computer_Stitching_Schedule26"/>
      <sheetName val="Stitching_Overview_Sketch26"/>
      <sheetName val="Stitching_Instructions_(5)26"/>
      <sheetName val="Stitching_Instructions_(6)26"/>
      <sheetName val="Stitching_Instructions_(6)_3_36"/>
      <sheetName val="Stitching_Instructions_(7)26"/>
      <sheetName val="Upper_Injected_Compon_Pro__(126"/>
      <sheetName val="Upper_Injected_Compon_Pro__(226"/>
      <sheetName val="Upper_HF__Printing_Welding(1)26"/>
      <sheetName val="Upper_HF_Printing_Welding(2)26"/>
      <sheetName val="Upper_HF_Welding_Process_(3)26"/>
      <sheetName val="Upper_HF_Welding_Process_(4)26"/>
      <sheetName val="Upper_HF_Printing_Welding_(5)26"/>
      <sheetName val="Upper_HF_Welding_Process_(6)26"/>
      <sheetName val="CMP_PHYLON_CSS_CONFIRMATION26"/>
      <sheetName val="Phylon_Midsole_Spec_26"/>
      <sheetName val="Stock_Fitting_Process(3)26"/>
      <sheetName val="Stock_Fitting_Process_(6)26"/>
      <sheetName val="Stock_Fitting_Process_(7)26"/>
      <sheetName val="Upper_Weight_Control26"/>
      <sheetName val="Blank_Form26"/>
      <sheetName val="Raw_Data_Sheet26"/>
      <sheetName val="Cover_27"/>
      <sheetName val="Sheet1_27"/>
      <sheetName val="Index_27"/>
      <sheetName val="Spec1_27"/>
      <sheetName val="Spec__54"/>
      <sheetName val="Spec__55"/>
      <sheetName val="Spec_28"/>
      <sheetName val="Spec_627"/>
      <sheetName val="Spec7_27"/>
      <sheetName val="Spec8_27"/>
      <sheetName val="cutting___27"/>
      <sheetName val="Punch_Specification__27"/>
      <sheetName val="Logo_Specification27"/>
      <sheetName val="Strap_Specification27"/>
      <sheetName val="Part_&amp;_Group_Specification27"/>
      <sheetName val="Reinf_Placement27"/>
      <sheetName val="Skiving_instructions27"/>
      <sheetName val="Marking_locations27"/>
      <sheetName val="Folding_Locations27"/>
      <sheetName val="Stitching_Over_View27"/>
      <sheetName val="stitching_instructions_27"/>
      <sheetName val="Computer_stitched27"/>
      <sheetName val="Upper_Molded_Component_Spec__27"/>
      <sheetName val="Upper_Molded_Component_Proc__27"/>
      <sheetName val="Upper_Measurement_Spec27"/>
      <sheetName val="PFC_Revice27"/>
      <sheetName val="Cutting_Die_(1)27"/>
      <sheetName val="Cutting_Die_(2)27"/>
      <sheetName val="Cutting_Die_(3)27"/>
      <sheetName val="Perf_Specification27"/>
      <sheetName val="Marking_Location27"/>
      <sheetName val="Marking_Locations_(2)27"/>
      <sheetName val="Skiving_Instruction_(2)27"/>
      <sheetName val="Spliting_27"/>
      <sheetName val="Reinf__Placement_(1)27"/>
      <sheetName val="Reinf__Placement_(2)27"/>
      <sheetName val="Stitching_Instructions_(1)27"/>
      <sheetName val="Stitching_Instructions_(2)27"/>
      <sheetName val="Stitching_Instructions_(3)27"/>
      <sheetName val="Computer_Stitching_27"/>
      <sheetName val="Upper_Molded_Component_Spec_27"/>
      <sheetName val="PHYLON_CSS27"/>
      <sheetName val="PHYLON_CSS_SCHEDULES27"/>
      <sheetName val="PHYLON_CSS_CONFIRMATION27"/>
      <sheetName val="Outsole_Color_27"/>
      <sheetName val="Outsole_Preform_Specification44"/>
      <sheetName val="Outsole_Pressing_Process27"/>
      <sheetName val="Outsole_Degreasing_Process_27"/>
      <sheetName val="Stock_Fiting_UV-Light_Proce_27"/>
      <sheetName val="Stock_Fiting_Process_27"/>
      <sheetName val="IY_06_0727"/>
      <sheetName val="Assembly_UV-Light_Process__27"/>
      <sheetName val="Assembly_Process_6,7_27"/>
      <sheetName val="Assembly_Process_6,727"/>
      <sheetName val="IY08_09_1027"/>
      <sheetName val="Assembly_Process_8,9,10_27"/>
      <sheetName val="Assembly_Process_8,9,10_(2_)27"/>
      <sheetName val="Back_Part_Moulding_(Soccer_TP27"/>
      <sheetName val="Ecosole_Instructions_27"/>
      <sheetName val="Sockliner_Instructions27"/>
      <sheetName val="Sock_Liner_Spec_27"/>
      <sheetName val="_(6,7)27"/>
      <sheetName val="Skiving_Instruction_(1)27"/>
      <sheetName val="Spliting_Instructions27"/>
      <sheetName val="Tapering_Instructions27"/>
      <sheetName val="Marking_Location_(1)27"/>
      <sheetName val="Marking_Location_(2)27"/>
      <sheetName val="Trim_&amp;_Edge-painting27"/>
      <sheetName val="Reinforcement_Placement27"/>
      <sheetName val="Folding_Location27"/>
      <sheetName val="Pre-Buffing_Specification27"/>
      <sheetName val="Stitching_Instructions_(4)27"/>
      <sheetName val="Upper_Laser_Process-_Spec_27"/>
      <sheetName val="Upper_Laser_Process-Spec_(2)_27"/>
      <sheetName val="Upper_Laser_Process-Spec__(3)27"/>
      <sheetName val="Sockliner__Process27"/>
      <sheetName val="Outsole_Color_Schedule27"/>
      <sheetName val="Outsole_Preform_Specification45"/>
      <sheetName val="Outsole_Pressing_Process_27"/>
      <sheetName val="PU_CSS_CONFIRMATION27"/>
      <sheetName val="PU_CSS_Schedules27"/>
      <sheetName val="PU_Midsole_Spec_I27"/>
      <sheetName val="Stock_Fitting_Process_(8)27"/>
      <sheetName val="Stock_Fitting_Process_27"/>
      <sheetName val="Stock_Fitting_Process27"/>
      <sheetName val="Stock_Fitting_Process_(2)27"/>
      <sheetName val="Stock_Fitting_Process_(3)27"/>
      <sheetName val="Stockfit_BPFC27"/>
      <sheetName val="Assembling_Process27"/>
      <sheetName val="Assembling_Process_(2)27"/>
      <sheetName val="Assembly_BPFC27"/>
      <sheetName val="Production_Checklist27"/>
      <sheetName val="Sockliner_Specification27"/>
      <sheetName val="Upper_Measurement_Spec_27"/>
      <sheetName val="索引_(1)27"/>
      <sheetName val="沖孔規格說明_(2)27"/>
      <sheetName val="_削薄處指示說明27"/>
      <sheetName val="_削薄處指示說明_(2)27"/>
      <sheetName val="_削薄處指示說明_(3)27"/>
      <sheetName val="_削薄處指示說明_(4)27"/>
      <sheetName val="_削薄處指示說明_(5)27"/>
      <sheetName val="劃線印刷指示說明_(2)27"/>
      <sheetName val="劃線印刷指示說明_(3)27"/>
      <sheetName val="折邊指示說明_27"/>
      <sheetName val="針車流程_(2)27"/>
      <sheetName val="針車流程_(3)27"/>
      <sheetName val="針車流程_(4)27"/>
      <sheetName val="針車流程_(5)27"/>
      <sheetName val="針車流程_(6)27"/>
      <sheetName val="_鞋面印刷作業流程27"/>
      <sheetName val="_鞋面高週波作業流程_(2)27"/>
      <sheetName val="__鞋墊作業流程27"/>
      <sheetName val="Cover_313845-102((259_)_(2)27"/>
      <sheetName val="Index_(1)27"/>
      <sheetName val="Logo_Specification_(2)27"/>
      <sheetName val="Screen_Printing_(4)27"/>
      <sheetName val="Upper_HF_Welding_Process(5)27"/>
      <sheetName val="Index_(3)27"/>
      <sheetName val="Bottom_Component_Process_Spec27"/>
      <sheetName val="Stock_Fitting_Process_(4)27"/>
      <sheetName val="Stock_Fitting_Process_(5)27"/>
      <sheetName val="Stockfit_BPFC_(2)27"/>
      <sheetName val="Assembling_Process_(3)27"/>
      <sheetName val="Assembly_BPFC_(2)27"/>
      <sheetName val="Sockliner_Sublimation_Process27"/>
      <sheetName val="Cutting_D)e_(1)27"/>
      <sheetName val="Cutting_D)e_(2)27"/>
      <sheetName val="Cutting_D)e_(3)27"/>
      <sheetName val="Stitching_Instructio_s_(3)27"/>
      <sheetName val="output_per_jam27"/>
      <sheetName val="data_Productivity27"/>
      <sheetName val="MLT_27"/>
      <sheetName val="daily_BEP27"/>
      <sheetName val="178049A_XLS27"/>
      <sheetName val="LB_CUTTING_KUROBE27"/>
      <sheetName val="Cutting(3)_3_1727"/>
      <sheetName val="Cutting(5)_3_1327"/>
      <sheetName val="Cutting(6)3_1727"/>
      <sheetName val="Molding_Piece_Schedule27"/>
      <sheetName val="Perf_Specification_(1)27"/>
      <sheetName val="Perf_Specification_(2)27"/>
      <sheetName val="Skiving_Instruction_(3)27"/>
      <sheetName val="Skiving_Instruction_(4)27"/>
      <sheetName val="Skiving_Instruction_(5)27"/>
      <sheetName val="Tapering_Instructions_3_1327"/>
      <sheetName val="Marking_Location_(3)27"/>
      <sheetName val="Triming_edge_Instructions27"/>
      <sheetName val="Reinforcement_Placement_(1)27"/>
      <sheetName val="Reinforcement_Placement_(2)27"/>
      <sheetName val="Reinforcement_Placement_(2)2_37"/>
      <sheetName val="Reinforcement_Placement_(3)27"/>
      <sheetName val="Computer_Stitching_Schedule27"/>
      <sheetName val="Stitching_Overview_Sketch27"/>
      <sheetName val="Stitching_Instructions_(5)27"/>
      <sheetName val="Stitching_Instructions_(6)27"/>
      <sheetName val="Stitching_Instructions_(6)_3_37"/>
      <sheetName val="Stitching_Instructions_(7)27"/>
      <sheetName val="Upper_Injected_Compon_Pro__(127"/>
      <sheetName val="Upper_Injected_Compon_Pro__(227"/>
      <sheetName val="Upper_HF__Printing_Welding(1)27"/>
      <sheetName val="Upper_HF_Printing_Welding(2)27"/>
      <sheetName val="Upper_HF_Welding_Process_(3)27"/>
      <sheetName val="Upper_HF_Welding_Process_(4)27"/>
      <sheetName val="Upper_HF_Printing_Welding_(5)27"/>
      <sheetName val="Upper_HF_Welding_Process_(6)27"/>
      <sheetName val="CMP_PHYLON_CSS_CONFIRMATION27"/>
      <sheetName val="Phylon_Midsole_Spec_27"/>
      <sheetName val="Stock_Fitting_Process(3)27"/>
      <sheetName val="Stock_Fitting_Process_(6)27"/>
      <sheetName val="Stock_Fitting_Process_(7)27"/>
      <sheetName val="Upper_Weight_Control27"/>
      <sheetName val="Blank_Form27"/>
      <sheetName val="Raw_Data_Sheet27"/>
      <sheetName val="TABLE OF CONTENTS"/>
      <sheetName val="5.수정데이터통합"/>
      <sheetName val="표2"/>
      <sheetName val="SHOX REMID II"/>
      <sheetName val="제조공정도5"/>
      <sheetName val="PU "/>
      <sheetName val="3.I-Prefit Stitching"/>
      <sheetName val="Upper Measureme_x0000_9!_x0000_6_x000f_pv"/>
      <sheetName val="_x0000_`"/>
      <sheetName val="heso"/>
      <sheetName val="assmb 1"/>
      <sheetName val="assmb 2"/>
      <sheetName val="assmb 3"/>
      <sheetName val="assmb 4"/>
      <sheetName val="assmb 5"/>
      <sheetName val="assmb 6"/>
      <sheetName val="assmb 7"/>
      <sheetName val="assmb_1"/>
      <sheetName val="assmb_2"/>
      <sheetName val="assmb_3"/>
      <sheetName val="assmb_4"/>
      <sheetName val="assmb_5"/>
      <sheetName val="assmb_6"/>
      <sheetName val="assmb_7"/>
      <sheetName val="assmb_11"/>
      <sheetName val="assmb_21"/>
      <sheetName val="assmb_31"/>
      <sheetName val="assmb_41"/>
      <sheetName val="assmb_51"/>
      <sheetName val="assmb_61"/>
      <sheetName val="assmb_71"/>
      <sheetName val="DWPM"/>
      <sheetName val="Cutting Dies "/>
      <sheetName val="Culture of Empowerment"/>
      <sheetName val="Score%"/>
      <sheetName val="A.TERRA"/>
      <sheetName val="Cover (2)"/>
      <sheetName val=" Cutting(1) "/>
      <sheetName val=" Cutting  (2)"/>
      <sheetName val=" Cutting  (3)"/>
      <sheetName val=" Cutting  (4)"/>
      <sheetName val=" Cutting  (5)"/>
      <sheetName val="Reinf Placement (2)"/>
      <sheetName val="Skiving Instructions (2)"/>
      <sheetName val="Skiving Instruction3"/>
      <sheetName val="Pre-Buffing (2)"/>
      <sheetName val="Tongue Label"/>
      <sheetName val="Stitching Instructions(1)"/>
      <sheetName val="Stitching Instructions(2)"/>
      <sheetName val="Stitching Instructions(3)"/>
      <sheetName val="Stitching Instructions(4)"/>
      <sheetName val="Stitching Instructions(5)"/>
      <sheetName val="Stitching Instructions(6)"/>
      <sheetName val="H.F. Welding Proc"/>
      <sheetName val="TPU CLEANING&amp;SCREEN PRINT "/>
      <sheetName val="Dispenser Ruang Classic"/>
      <sheetName val="3d"/>
      <sheetName val="2b"/>
      <sheetName val="Stock Fitting @_x001b__x000c__x0000__x0000__x0000__x0000__x0000__x0001__x0000__x0000_"/>
      <sheetName val="Stockfit"/>
      <sheetName val="Stock Fitting @_x001b__x000c_"/>
      <sheetName val="XL4Poppy"/>
      <sheetName val="Stitching Instruction  (2)"/>
      <sheetName val="Skiving Instructions "/>
      <sheetName val="Key Manufacturing Details (1)"/>
      <sheetName val="월별 부하운영 계획  (3)"/>
      <sheetName val="당월(1)"/>
      <sheetName val="신규DEP"/>
      <sheetName val="Stitching (G-Flux)"/>
      <sheetName val="Stitching (GD-Runner)"/>
      <sheetName val="Source"/>
      <sheetName val="Stock Fitting @_x001b__x000c_?????_x0001_??"/>
      <sheetName val="Stock Fitting @_x005f_x001b__x005f_x000c__x"/>
      <sheetName val="SPM (Cutting&amp;Pre)"/>
      <sheetName val="Stock Fitting @_x005f_x001b__x005f_x000c_"/>
      <sheetName val="SPRAY_(A_MX_PLUS)"/>
      <sheetName val="BOLD_SISTER-STRONG_SISTER_-TOR6"/>
      <sheetName val="SHOX_NAVINA_,_SHOX_REVEAL"/>
      <sheetName val="MODEL_SHOX_TURBO_OZ_(PS+TD)"/>
      <sheetName val="89"/>
      <sheetName val="79"/>
      <sheetName val="PIDATA"/>
      <sheetName val="#REF!"/>
      <sheetName val="gVL"/>
      <sheetName val="LINK"/>
      <sheetName val="Upper Measureme"/>
      <sheetName val=""/>
      <sheetName val="PERCELL"/>
      <sheetName val="FA-HO11 Feb 2010"/>
      <sheetName val="Upper Measureme?9!?6_x000f_pv"/>
      <sheetName val="?`"/>
      <sheetName val="NAME"/>
      <sheetName val="Form PDCA Single Project - IA"/>
      <sheetName val="2.대외공문"/>
      <sheetName val="Material name"/>
      <sheetName val="Mold Efficiency Form"/>
      <sheetName val="List"/>
      <sheetName val="Cover_28"/>
      <sheetName val="Sheet1_28"/>
      <sheetName val="Index_28"/>
      <sheetName val="Spec1_28"/>
      <sheetName val="Spec__56"/>
      <sheetName val="Spec__57"/>
      <sheetName val="Spec_29"/>
      <sheetName val="Spec_628"/>
      <sheetName val="Spec7_28"/>
      <sheetName val="Spec8_28"/>
      <sheetName val="cutting___28"/>
      <sheetName val="Punch_Specification__28"/>
      <sheetName val="Logo_Specification28"/>
      <sheetName val="Strap_Specification28"/>
      <sheetName val="Part_&amp;_Group_Specification28"/>
      <sheetName val="Reinf_Placement28"/>
      <sheetName val="Skiving_instructions28"/>
      <sheetName val="Marking_locations28"/>
      <sheetName val="Folding_Locations28"/>
      <sheetName val="Stitching_Over_View28"/>
      <sheetName val="stitching_instructions_28"/>
      <sheetName val="Computer_stitched28"/>
      <sheetName val="Upper_Molded_Component_Spec__28"/>
      <sheetName val="Upper_Molded_Component_Proc__28"/>
      <sheetName val="Upper_Measurement_Spec28"/>
      <sheetName val="PFC_Revice28"/>
      <sheetName val="Cutting_Die_(1)28"/>
      <sheetName val="Cutting_Die_(2)28"/>
      <sheetName val="Cutting_Die_(3)28"/>
      <sheetName val="Perf_Specification28"/>
      <sheetName val="Marking_Location28"/>
      <sheetName val="Marking_Locations_(2)28"/>
      <sheetName val="Skiving_Instruction_(2)28"/>
      <sheetName val="Spliting_28"/>
      <sheetName val="Reinf__Placement_(1)28"/>
      <sheetName val="Reinf__Placement_(2)28"/>
      <sheetName val="Stitching_Instructions_(1)28"/>
      <sheetName val="Stitching_Instructions_(2)28"/>
      <sheetName val="Stitching_Instructions_(3)28"/>
      <sheetName val="Computer_Stitching_28"/>
      <sheetName val="Upper_Molded_Component_Spec_28"/>
      <sheetName val="PHYLON_CSS28"/>
      <sheetName val="PHYLON_CSS_SCHEDULES28"/>
      <sheetName val="PHYLON_CSS_CONFIRMATION28"/>
      <sheetName val="Outsole_Color_28"/>
      <sheetName val="Outsole_Preform_Specification46"/>
      <sheetName val="Outsole_Pressing_Process28"/>
      <sheetName val="Outsole_Degreasing_Process_28"/>
      <sheetName val="Stock_Fiting_UV-Light_Proce_28"/>
      <sheetName val="Stock_Fiting_Process_28"/>
      <sheetName val="IY_06_0728"/>
      <sheetName val="Assembly_UV-Light_Process__28"/>
      <sheetName val="Assembly_Process_6,7_28"/>
      <sheetName val="Assembly_Process_6,728"/>
      <sheetName val="IY08_09_1028"/>
      <sheetName val="Assembly_Process_8,9,10_28"/>
      <sheetName val="Assembly_Process_8,9,10_(2_)28"/>
      <sheetName val="Back_Part_Moulding_(Soccer_TP28"/>
      <sheetName val="Ecosole_Instructions_28"/>
      <sheetName val="Sockliner_Instructions28"/>
      <sheetName val="Sock_Liner_Spec_28"/>
      <sheetName val="_(6,7)28"/>
      <sheetName val="Skiving_Instruction_(1)28"/>
      <sheetName val="Spliting_Instructions28"/>
      <sheetName val="Tapering_Instructions28"/>
      <sheetName val="Marking_Location_(1)28"/>
      <sheetName val="Marking_Location_(2)28"/>
      <sheetName val="Trim_&amp;_Edge-painting28"/>
      <sheetName val="Reinforcement_Placement28"/>
      <sheetName val="Folding_Location28"/>
      <sheetName val="Pre-Buffing_Specification28"/>
      <sheetName val="Stitching_Instructions_(4)28"/>
      <sheetName val="Upper_Laser_Process-_Spec_28"/>
      <sheetName val="Upper_Laser_Process-Spec_(2)_28"/>
      <sheetName val="Upper_Laser_Process-Spec__(3)28"/>
      <sheetName val="Sockliner__Process28"/>
      <sheetName val="Outsole_Color_Schedule28"/>
      <sheetName val="Outsole_Preform_Specification47"/>
      <sheetName val="Outsole_Pressing_Process_28"/>
      <sheetName val="PU_CSS_CONFIRMATION28"/>
      <sheetName val="PU_CSS_Schedules28"/>
      <sheetName val="PU_Midsole_Spec_I28"/>
      <sheetName val="Stock_Fitting_Process_(8)28"/>
      <sheetName val="Stock_Fitting_Process_28"/>
      <sheetName val="Stock_Fitting_Process28"/>
      <sheetName val="Stock_Fitting_Process_(2)28"/>
      <sheetName val="Stock_Fitting_Process_(3)28"/>
      <sheetName val="Stockfit_BPFC28"/>
      <sheetName val="Assembling_Process28"/>
      <sheetName val="Assembling_Process_(2)28"/>
      <sheetName val="Assembly_BPFC28"/>
      <sheetName val="Production_Checklist28"/>
      <sheetName val="Sockliner_Specification28"/>
      <sheetName val="Upper_Measurement_Spec_28"/>
      <sheetName val="索引_(1)28"/>
      <sheetName val="沖孔規格說明_(2)28"/>
      <sheetName val="_削薄處指示說明28"/>
      <sheetName val="_削薄處指示說明_(2)28"/>
      <sheetName val="_削薄處指示說明_(3)28"/>
      <sheetName val="_削薄處指示說明_(4)28"/>
      <sheetName val="_削薄處指示說明_(5)28"/>
      <sheetName val="劃線印刷指示說明_(2)28"/>
      <sheetName val="劃線印刷指示說明_(3)28"/>
      <sheetName val="折邊指示說明_28"/>
      <sheetName val="針車流程_(2)28"/>
      <sheetName val="針車流程_(3)28"/>
      <sheetName val="針車流程_(4)28"/>
      <sheetName val="針車流程_(5)28"/>
      <sheetName val="針車流程_(6)28"/>
      <sheetName val="_鞋面印刷作業流程28"/>
      <sheetName val="_鞋面高週波作業流程_(2)28"/>
      <sheetName val="__鞋墊作業流程28"/>
      <sheetName val="Cover_313845-102((259_)_(2)28"/>
      <sheetName val="Index_(1)28"/>
      <sheetName val="Logo_Specification_(2)28"/>
      <sheetName val="Screen_Printing_(4)28"/>
      <sheetName val="Upper_HF_Welding_Process(5)28"/>
      <sheetName val="Index_(3)28"/>
      <sheetName val="Bottom_Component_Process_Spec28"/>
      <sheetName val="Stock_Fitting_Process_(4)28"/>
      <sheetName val="Stock_Fitting_Process_(5)28"/>
      <sheetName val="Stockfit_BPFC_(2)28"/>
      <sheetName val="Assembling_Process_(3)28"/>
      <sheetName val="Assembly_BPFC_(2)28"/>
      <sheetName val="Sockliner_Sublimation_Process28"/>
      <sheetName val="Cutting_D)e_(1)28"/>
      <sheetName val="Cutting_D)e_(2)28"/>
      <sheetName val="Cutting_D)e_(3)28"/>
      <sheetName val="Stitching_Instructio_s_(3)28"/>
      <sheetName val="LOB_Auto_CS_90"/>
      <sheetName val="SPRAY_(A_MX_PLUS)1"/>
      <sheetName val="BOLD_SISTER-STRONG_SISTER_-TOR1"/>
      <sheetName val="SHOX_NAVINA_,_SHOX_REVEAL1"/>
      <sheetName val="MODEL_SHOX_TURBO_OZ_(PS+TD)1"/>
      <sheetName val="Spray_Tower_Machine"/>
      <sheetName val="Sheet1_(2)"/>
      <sheetName val="Raw_Data_Sheet28"/>
      <sheetName val="output_per_jam28"/>
      <sheetName val="data_Productivity28"/>
      <sheetName val="MLT_28"/>
      <sheetName val="daily_BEP28"/>
      <sheetName val="178049A_XLS28"/>
      <sheetName val="LB_CUTTING_KUROBE28"/>
      <sheetName val="Cutting(3)_3_1728"/>
      <sheetName val="Cutting(5)_3_1328"/>
      <sheetName val="Cutting(6)3_1728"/>
      <sheetName val="Molding_Piece_Schedule28"/>
      <sheetName val="Perf_Specification_(1)28"/>
      <sheetName val="Perf_Specification_(2)28"/>
      <sheetName val="Skiving_Instruction_(3)28"/>
      <sheetName val="Skiving_Instruction_(4)28"/>
      <sheetName val="Skiving_Instruction_(5)28"/>
      <sheetName val="Tapering_Instructions_3_1328"/>
      <sheetName val="Marking_Location_(3)28"/>
      <sheetName val="Triming_edge_Instructions28"/>
      <sheetName val="Reinforcement_Placement_(1)28"/>
      <sheetName val="Reinforcement_Placement_(2)28"/>
      <sheetName val="Reinforcement_Placement_(2)2_38"/>
      <sheetName val="Reinforcement_Placement_(3)28"/>
      <sheetName val="Computer_Stitching_Schedule28"/>
      <sheetName val="Stitching_Overview_Sketch28"/>
      <sheetName val="Stitching_Instructions_(5)28"/>
      <sheetName val="Stitching_Instructions_(6)28"/>
      <sheetName val="Stitching_Instructions_(6)_3_38"/>
      <sheetName val="Stitching_Instructions_(7)28"/>
      <sheetName val="Upper_Injected_Compon_Pro__(128"/>
      <sheetName val="Upper_Injected_Compon_Pro__(228"/>
      <sheetName val="Upper_HF__Printing_Welding(1)28"/>
      <sheetName val="Upper_HF_Printing_Welding(2)28"/>
      <sheetName val="Upper_HF_Welding_Process_(3)28"/>
      <sheetName val="Upper_HF_Welding_Process_(4)28"/>
      <sheetName val="Upper_HF_Printing_Welding_(5)28"/>
      <sheetName val="Upper_HF_Welding_Process_(6)28"/>
      <sheetName val="CMP_PHYLON_CSS_CONFIRMATION28"/>
      <sheetName val="Phylon_Midsole_Spec_28"/>
      <sheetName val="Stock_Fitting_Process(3)28"/>
      <sheetName val="Stock_Fitting_Process_(6)28"/>
      <sheetName val="Stock_Fitting_Process_(7)28"/>
      <sheetName val="Upper_Weight_Control28"/>
      <sheetName val="Blank_Form28"/>
      <sheetName val="LB_(80)"/>
      <sheetName val="TABLE_OF_CONTENTS"/>
      <sheetName val="Dispenser_Ruang_Classic"/>
      <sheetName val="Stock_Fitting_@"/>
      <sheetName val="Cutting_Dies_"/>
      <sheetName val="5_수정데이터통합"/>
      <sheetName val="SHOX_REMID_II"/>
      <sheetName val="PU_"/>
      <sheetName val="3_I-Prefit_Stitching"/>
      <sheetName val="Upper_Measureme9!6pv"/>
      <sheetName val="`"/>
      <sheetName val="assmb_12"/>
      <sheetName val="assmb_22"/>
      <sheetName val="assmb_32"/>
      <sheetName val="assmb_42"/>
      <sheetName val="assmb_52"/>
      <sheetName val="assmb_62"/>
      <sheetName val="assmb_72"/>
      <sheetName val="Culture_of_Empowerment"/>
      <sheetName val="A_TERRA"/>
      <sheetName val="Cover_(2)"/>
      <sheetName val="_Cutting(1)_"/>
      <sheetName val="_Cutting__(2)"/>
      <sheetName val="_Cutting__(3)"/>
      <sheetName val="_Cutting__(4)"/>
      <sheetName val="_Cutting__(5)"/>
      <sheetName val="Reinf_Placement_(2)"/>
      <sheetName val="Skiving_Instructions_(2)"/>
      <sheetName val="Skiving_Instruction3"/>
      <sheetName val="Pre-Buffing_(2)"/>
      <sheetName val="Tongue_Label"/>
      <sheetName val="Stitching_Instructions(1)"/>
      <sheetName val="Stitching_Instructions(2)"/>
      <sheetName val="Stitching_Instructions(3)"/>
      <sheetName val="Stitching_Instructions(4)"/>
      <sheetName val="Stitching_Instructions(5)"/>
      <sheetName val="Stitching_Instructions(6)"/>
      <sheetName val="H_F__Welding_Proc"/>
      <sheetName val="TPU_CLEANING&amp;SCREEN_PRINT_"/>
      <sheetName val="Stitching_Instruction__(2)"/>
      <sheetName val="Skiving_Instructions_"/>
      <sheetName val="Key_Manufacturing_Details_(1)"/>
      <sheetName val="월별_부하운영_계획__(3)"/>
      <sheetName val="Stitching_(G-Flux)"/>
      <sheetName val="Stitching_(GD-Runner)"/>
      <sheetName val="Stock_Fitting_@???????"/>
      <sheetName val="Stock_Fitting_@_x005f_x001b__x005f_x000c__x"/>
      <sheetName val="SPM_(Cutting&amp;Pre)"/>
      <sheetName val="Stock_Fitting_@_x005f_x001b__x005f_x000c_"/>
      <sheetName val="Upper_Measureme"/>
      <sheetName val="FA-HO11_Feb_2010"/>
      <sheetName val="Upper_Measureme?9!?6pv"/>
      <sheetName val="Form_PDCA_Single_Project_-_IA"/>
      <sheetName val="2_대외공문"/>
      <sheetName val="Material_name"/>
      <sheetName val="Mold_Efficiency_Form"/>
      <sheetName val="Stock Fitting @_x001b__x000c__x"/>
      <sheetName val="DTCT"/>
      <sheetName val="Vietnam Report"/>
      <sheetName val="87"/>
      <sheetName val="Flow Chart "/>
      <sheetName val="MAY"/>
      <sheetName val="기안"/>
      <sheetName val="output"/>
      <sheetName val="Finding-out-Annalysis"/>
      <sheetName val="SPEC"/>
      <sheetName val="Process Flow Chart"/>
      <sheetName val="Reff"/>
      <sheetName val="PAJAK THR (3)"/>
      <sheetName val="summary"/>
      <sheetName val="orderstatus"/>
      <sheetName val="Upper Measureme9!6_x000f_pv"/>
      <sheetName val="Stock Fitting @_x001b__x000c__x0001_"/>
      <sheetName val="Maroing_Location_(1)14"/>
      <sheetName val="Skiving_Insdruction_(5)14"/>
      <sheetName val="Cover_35"/>
      <sheetName val="Sheet1_35"/>
      <sheetName val="Index_35"/>
      <sheetName val="Spec1_35"/>
      <sheetName val="Spec__70"/>
      <sheetName val="Spec__71"/>
      <sheetName val="Spec_36"/>
      <sheetName val="Spec_635"/>
      <sheetName val="Spec7_35"/>
      <sheetName val="Spec8_35"/>
      <sheetName val="cutting___35"/>
      <sheetName val="Punch_Specification__35"/>
      <sheetName val="Logo_Specification35"/>
      <sheetName val="Strap_Specification35"/>
      <sheetName val="Part_&amp;_Group_Specification35"/>
      <sheetName val="Reinf_Placement35"/>
      <sheetName val="Skiving_instructions35"/>
      <sheetName val="Marking_locations35"/>
      <sheetName val="Folding_Locations35"/>
      <sheetName val="Stitching_Over_View35"/>
      <sheetName val="stitching_instructions_35"/>
      <sheetName val="Computer_stitched35"/>
      <sheetName val="Upper_Molded_Component_Spec__35"/>
      <sheetName val="Upper_Molded_Component_Proc__35"/>
      <sheetName val="Upper_Measurement_Spec35"/>
      <sheetName val="PFC_Revice35"/>
      <sheetName val="Cutting_Die_(1)35"/>
      <sheetName val="Cutting_Die_(2)35"/>
      <sheetName val="Cutting_Die_(3)35"/>
      <sheetName val="Perf_Specification35"/>
      <sheetName val="Marking_Location35"/>
      <sheetName val="Marking_Locations_(2)35"/>
      <sheetName val="Skiving_Instruction_(2)35"/>
      <sheetName val="Spliting_35"/>
      <sheetName val="Reinf__Placement_(1)35"/>
      <sheetName val="Reinf__Placement_(2)35"/>
      <sheetName val="Stitching_Instructions_(1)35"/>
      <sheetName val="Stitching_Instructions_(2)35"/>
      <sheetName val="Stitching_Instructions_(3)35"/>
      <sheetName val="Computer_Stitching_35"/>
      <sheetName val="Upper_Molded_Component_Spec_35"/>
      <sheetName val="PHYLON_CSS35"/>
      <sheetName val="PHYLON_CSS_SCHEDULES35"/>
      <sheetName val="PHYLON_CSS_CONFIRMATION35"/>
      <sheetName val="Outsole_Color_35"/>
      <sheetName val="Outsole_Preform_Specification60"/>
      <sheetName val="Outsole_Pressing_Process35"/>
      <sheetName val="Outsole_Degreasing_Process_35"/>
      <sheetName val="Stock_Fiting_UV-Light_Proce_35"/>
      <sheetName val="Stock_Fiting_Process_35"/>
      <sheetName val="IY_06_0735"/>
      <sheetName val="Assembly_UV-Light_Process__35"/>
      <sheetName val="Assembly_Process_6,7_35"/>
      <sheetName val="Assembly_Process_6,735"/>
      <sheetName val="IY08_09_1035"/>
      <sheetName val="Assembly_Process_8,9,10_35"/>
      <sheetName val="Assembly_Process_8,9,10_(2_)35"/>
      <sheetName val="Back_Part_Moulding_(Soccer_TP35"/>
      <sheetName val="Ecosole_Instructions_35"/>
      <sheetName val="Sockliner_Instructions35"/>
      <sheetName val="Sock_Liner_Spec_35"/>
      <sheetName val="_(6,7)35"/>
      <sheetName val="Skiving_Instruction_(1)35"/>
      <sheetName val="Spliting_Instructions35"/>
      <sheetName val="Tapering_Instructions35"/>
      <sheetName val="Marking_Location_(1)35"/>
      <sheetName val="Marking_Location_(2)35"/>
      <sheetName val="Trim_&amp;_Edge-painting35"/>
      <sheetName val="Reinforcement_Placement35"/>
      <sheetName val="Folding_Location35"/>
      <sheetName val="Pre-Buffing_Specification35"/>
      <sheetName val="Stitching_Instructions_(4)35"/>
      <sheetName val="Upper_Laser_Process-_Spec_35"/>
      <sheetName val="Upper_Laser_Process-Spec_(2)_35"/>
      <sheetName val="Upper_Laser_Process-Spec__(3)35"/>
      <sheetName val="Sockliner__Process35"/>
      <sheetName val="Outsole_Color_Schedule35"/>
      <sheetName val="Outsole_Preform_Specification61"/>
      <sheetName val="Outsole_Pressing_Process_35"/>
      <sheetName val="PU_CSS_CONFIRMATION35"/>
      <sheetName val="PU_CSS_Schedules35"/>
      <sheetName val="PU_Midsole_Spec_I35"/>
      <sheetName val="Stock_Fitting_Process_(8)35"/>
      <sheetName val="Stock_Fitting_Process_35"/>
      <sheetName val="Stock_Fitting_Process35"/>
      <sheetName val="Stock_Fitting_Process_(2)35"/>
      <sheetName val="Stock_Fitting_Process_(3)35"/>
      <sheetName val="Stockfit_BPFC35"/>
      <sheetName val="Assembling_Process35"/>
      <sheetName val="Assembling_Process_(2)35"/>
      <sheetName val="Assembly_BPFC35"/>
      <sheetName val="Production_Checklist35"/>
      <sheetName val="Sockliner_Specification35"/>
      <sheetName val="Upper_Measurement_Spec_35"/>
      <sheetName val="索引_(1)35"/>
      <sheetName val="沖孔規格說明_(2)35"/>
      <sheetName val="_削薄處指示說明35"/>
      <sheetName val="_削薄處指示說明_(2)35"/>
      <sheetName val="_削薄處指示說明_(3)35"/>
      <sheetName val="_削薄處指示說明_(4)35"/>
      <sheetName val="_削薄處指示說明_(5)35"/>
      <sheetName val="劃線印刷指示說明_(2)35"/>
      <sheetName val="劃線印刷指示說明_(3)35"/>
      <sheetName val="折邊指示說明_35"/>
      <sheetName val="針車流程_(2)35"/>
      <sheetName val="針車流程_(3)35"/>
      <sheetName val="針車流程_(4)35"/>
      <sheetName val="針車流程_(5)35"/>
      <sheetName val="針車流程_(6)35"/>
      <sheetName val="_鞋面印刷作業流程35"/>
      <sheetName val="_鞋面高週波作業流程_(2)35"/>
      <sheetName val="__鞋墊作業流程35"/>
      <sheetName val="Cover_313845-102((259_)_(2)35"/>
      <sheetName val="Index_(1)35"/>
      <sheetName val="Logo_Specification_(2)35"/>
      <sheetName val="Screen_Printing_(4)35"/>
      <sheetName val="Upper_HF_Welding_Process(5)35"/>
      <sheetName val="Index_(3)35"/>
      <sheetName val="Bottom_Component_Process_Spec35"/>
      <sheetName val="Stock_Fitting_Process_(4)35"/>
      <sheetName val="Stock_Fitting_Process_(5)35"/>
      <sheetName val="Stockfit_BPFC_(2)35"/>
      <sheetName val="Assembling_Process_(3)35"/>
      <sheetName val="Assembly_BPFC_(2)35"/>
      <sheetName val="Sockliner_Sublimation_Process35"/>
      <sheetName val="Cutting_D)e_(1)35"/>
      <sheetName val="Cutting_D)e_(2)35"/>
      <sheetName val="Cutting_D)e_(3)35"/>
      <sheetName val="Stitching_Instructio_s_(3)35"/>
      <sheetName val="output_per_jam35"/>
      <sheetName val="data_Productivity35"/>
      <sheetName val="MLT_35"/>
      <sheetName val="daily_BEP35"/>
      <sheetName val="178049A_XLS35"/>
      <sheetName val="LB_CUTTING_KUROBE35"/>
      <sheetName val="Cutting(3)_3_1735"/>
      <sheetName val="Cutting(5)_3_1335"/>
      <sheetName val="Cutting(6)3_1735"/>
      <sheetName val="Molding_Piece_Schedule35"/>
      <sheetName val="Perf_Specification_(1)35"/>
      <sheetName val="Perf_Specification_(2)35"/>
      <sheetName val="Skiving_Instruction_(3)35"/>
      <sheetName val="Skiving_Instruction_(4)35"/>
      <sheetName val="Skiving_Instruction_(5)35"/>
      <sheetName val="Tapering_Instructions_3_1335"/>
      <sheetName val="Marking_Location_(3)35"/>
      <sheetName val="Triming_edge_Instructions35"/>
      <sheetName val="Reinforcement_Placement_(1)35"/>
      <sheetName val="Reinforcement_Placement_(2)35"/>
      <sheetName val="Reinforcement_Placement_(2)2_45"/>
      <sheetName val="Reinforcement_Placement_(3)35"/>
      <sheetName val="Computer_Stitching_Schedule35"/>
      <sheetName val="Stitching_Overview_Sketch35"/>
      <sheetName val="Stitching_Instructions_(5)35"/>
      <sheetName val="Stitching_Instructions_(6)35"/>
      <sheetName val="Stitching_Instructions_(6)_3_45"/>
      <sheetName val="Stitching_Instructions_(7)35"/>
      <sheetName val="Upper_Injected_Compon_Pro__(135"/>
      <sheetName val="Upper_Injected_Compon_Pro__(235"/>
      <sheetName val="Upper_HF__Printing_Welding(1)35"/>
      <sheetName val="Upper_HF_Printing_Welding(2)35"/>
      <sheetName val="Upper_HF_Welding_Process_(3)35"/>
      <sheetName val="Upper_HF_Welding_Process_(4)35"/>
      <sheetName val="Upper_HF_Printing_Welding_(5)35"/>
      <sheetName val="Upper_HF_Welding_Process_(6)35"/>
      <sheetName val="CMP_PHYLON_CSS_CONFIRMATION35"/>
      <sheetName val="Phylon_Midsole_Spec_35"/>
      <sheetName val="Stock_Fitting_Process(3)35"/>
      <sheetName val="Stock_Fitting_Process_(6)35"/>
      <sheetName val="Stock_Fitting_Process_(7)35"/>
      <sheetName val="Upper_Weight_Control35"/>
      <sheetName val="Blank_Form35"/>
      <sheetName val="Raw_Data_Sheet35"/>
      <sheetName val="SPRAY_(A_MX_PLUS)8"/>
      <sheetName val="BOLD_SISTER-STRONG_SISTER_-TOR9"/>
      <sheetName val="SHOX_NAVINA_,_SHOX_REVEAL8"/>
      <sheetName val="MODEL_SHOX_TURBO_OZ_(PS+TD)8"/>
      <sheetName val="Spray_Tower_Machine7"/>
      <sheetName val="Sheet1_(2)7"/>
      <sheetName val="LOB_Auto_CS_907"/>
      <sheetName val="LB_(80)7"/>
      <sheetName val="TABLE_OF_CONTENTS7"/>
      <sheetName val="Dispenser_Ruang_Classic7"/>
      <sheetName val="Stock_Fitting_@_x005f_x001b__x005f_x000c__7"/>
      <sheetName val="SPM_(Cutting&amp;Pre)7"/>
      <sheetName val="Stock_Fitting_@_x005f_x001b__x005f_x000c_7"/>
      <sheetName val="5_수정데이터통합7"/>
      <sheetName val="SHOX_REMID_II7"/>
      <sheetName val="PU_7"/>
      <sheetName val="3_I-Prefit_Stitching7"/>
      <sheetName val="assmb_19"/>
      <sheetName val="assmb_29"/>
      <sheetName val="assmb_39"/>
      <sheetName val="assmb_49"/>
      <sheetName val="assmb_59"/>
      <sheetName val="assmb_69"/>
      <sheetName val="assmb_79"/>
      <sheetName val="Cutting_Dies_7"/>
      <sheetName val="Culture_of_Empowerment7"/>
      <sheetName val="A_TERRA7"/>
      <sheetName val="Cover_(2)7"/>
      <sheetName val="_Cutting(1)_7"/>
      <sheetName val="_Cutting__(2)7"/>
      <sheetName val="_Cutting__(3)7"/>
      <sheetName val="_Cutting__(4)7"/>
      <sheetName val="_Cutting__(5)7"/>
      <sheetName val="Reinf_Placement_(2)7"/>
      <sheetName val="Skiving_Instructions_(2)7"/>
      <sheetName val="Skiving_Instruction37"/>
      <sheetName val="Pre-Buffing_(2)7"/>
      <sheetName val="Tongue_Label7"/>
      <sheetName val="Stitching_Instructions(1)7"/>
      <sheetName val="Stitching_Instructions(2)7"/>
      <sheetName val="Stitching_Instructions(3)7"/>
      <sheetName val="Stitching_Instructions(4)7"/>
      <sheetName val="Stitching_Instructions(5)7"/>
      <sheetName val="Stitching_Instructions(6)7"/>
      <sheetName val="H_F__Welding_Proc7"/>
      <sheetName val="TPU_CLEANING&amp;SCREEN_PRINT_7"/>
      <sheetName val="Stitching_Instruction__(2)7"/>
      <sheetName val="Skiving_Instructions_7"/>
      <sheetName val="Key_Manufacturing_Details_(1)7"/>
      <sheetName val="월별_부하운영_계획__(3)7"/>
      <sheetName val="Upper_Measureme7"/>
      <sheetName val="Stitching_(G-Flux)7"/>
      <sheetName val="Stitching_(GD-Runner)7"/>
      <sheetName val="FA-HO11_Feb_20107"/>
      <sheetName val="Form_PDCA_Single_Project_-_IA7"/>
      <sheetName val="2_대외공문7"/>
      <sheetName val="Material_name7"/>
      <sheetName val="Mold_Efficiency_Form7"/>
      <sheetName val="Cover_29"/>
      <sheetName val="Sheet1_29"/>
      <sheetName val="Index_29"/>
      <sheetName val="Spec1_29"/>
      <sheetName val="Spec__58"/>
      <sheetName val="Spec__59"/>
      <sheetName val="Spec_30"/>
      <sheetName val="Spec_629"/>
      <sheetName val="Spec7_29"/>
      <sheetName val="Spec8_29"/>
      <sheetName val="cutting___29"/>
      <sheetName val="Punch_Specification__29"/>
      <sheetName val="Logo_Specification29"/>
      <sheetName val="Strap_Specification29"/>
      <sheetName val="Part_&amp;_Group_Specification29"/>
      <sheetName val="Reinf_Placement29"/>
      <sheetName val="Skiving_instructions29"/>
      <sheetName val="Marking_locations29"/>
      <sheetName val="Folding_Locations29"/>
      <sheetName val="Stitching_Over_View29"/>
      <sheetName val="stitching_instructions_29"/>
      <sheetName val="Computer_stitched29"/>
      <sheetName val="Upper_Molded_Component_Spec__29"/>
      <sheetName val="Upper_Molded_Component_Proc__29"/>
      <sheetName val="Upper_Measurement_Spec29"/>
      <sheetName val="PFC_Revice29"/>
      <sheetName val="Cutting_Die_(1)29"/>
      <sheetName val="Cutting_Die_(2)29"/>
      <sheetName val="Cutting_Die_(3)29"/>
      <sheetName val="Perf_Specification29"/>
      <sheetName val="Marking_Location29"/>
      <sheetName val="Marking_Locations_(2)29"/>
      <sheetName val="Skiving_Instruction_(2)29"/>
      <sheetName val="Spliting_29"/>
      <sheetName val="Reinf__Placement_(1)29"/>
      <sheetName val="Reinf__Placement_(2)29"/>
      <sheetName val="Stitching_Instructions_(1)29"/>
      <sheetName val="Stitching_Instructions_(2)29"/>
      <sheetName val="Stitching_Instructions_(3)29"/>
      <sheetName val="Computer_Stitching_29"/>
      <sheetName val="Upper_Molded_Component_Spec_29"/>
      <sheetName val="PHYLON_CSS29"/>
      <sheetName val="PHYLON_CSS_SCHEDULES29"/>
      <sheetName val="PHYLON_CSS_CONFIRMATION29"/>
      <sheetName val="Outsole_Color_29"/>
      <sheetName val="Outsole_Preform_Specification48"/>
      <sheetName val="Outsole_Pressing_Process29"/>
      <sheetName val="Outsole_Degreasing_Process_29"/>
      <sheetName val="Stock_Fiting_UV-Light_Proce_29"/>
      <sheetName val="Stock_Fiting_Process_29"/>
      <sheetName val="IY_06_0729"/>
      <sheetName val="Assembly_UV-Light_Process__29"/>
      <sheetName val="Assembly_Process_6,7_29"/>
      <sheetName val="Assembly_Process_6,729"/>
      <sheetName val="IY08_09_1029"/>
      <sheetName val="Assembly_Process_8,9,10_29"/>
      <sheetName val="Assembly_Process_8,9,10_(2_)29"/>
      <sheetName val="Back_Part_Moulding_(Soccer_TP29"/>
      <sheetName val="Ecosole_Instructions_29"/>
      <sheetName val="Sockliner_Instructions29"/>
      <sheetName val="Sock_Liner_Spec_29"/>
      <sheetName val="_(6,7)29"/>
      <sheetName val="Skiving_Instruction_(1)29"/>
      <sheetName val="Spliting_Instructions29"/>
      <sheetName val="Tapering_Instructions29"/>
      <sheetName val="Marking_Location_(1)29"/>
      <sheetName val="Marking_Location_(2)29"/>
      <sheetName val="Trim_&amp;_Edge-painting29"/>
      <sheetName val="Reinforcement_Placement29"/>
      <sheetName val="Folding_Location29"/>
      <sheetName val="Pre-Buffing_Specification29"/>
      <sheetName val="Stitching_Instructions_(4)29"/>
      <sheetName val="Upper_Laser_Process-_Spec_29"/>
      <sheetName val="Upper_Laser_Process-Spec_(2)_29"/>
      <sheetName val="Upper_Laser_Process-Spec__(3)29"/>
      <sheetName val="Sockliner__Process29"/>
      <sheetName val="Outsole_Color_Schedule29"/>
      <sheetName val="Outsole_Preform_Specification49"/>
      <sheetName val="Outsole_Pressing_Process_29"/>
      <sheetName val="PU_CSS_CONFIRMATION29"/>
      <sheetName val="PU_CSS_Schedules29"/>
      <sheetName val="PU_Midsole_Spec_I29"/>
      <sheetName val="Stock_Fitting_Process_(8)29"/>
      <sheetName val="Stock_Fitting_Process_29"/>
      <sheetName val="Stock_Fitting_Process29"/>
      <sheetName val="Stock_Fitting_Process_(2)29"/>
      <sheetName val="Stock_Fitting_Process_(3)29"/>
      <sheetName val="Stockfit_BPFC29"/>
      <sheetName val="Assembling_Process29"/>
      <sheetName val="Assembling_Process_(2)29"/>
      <sheetName val="Assembly_BPFC29"/>
      <sheetName val="Production_Checklist29"/>
      <sheetName val="Sockliner_Specification29"/>
      <sheetName val="Upper_Measurement_Spec_29"/>
      <sheetName val="索引_(1)29"/>
      <sheetName val="沖孔規格說明_(2)29"/>
      <sheetName val="_削薄處指示說明29"/>
      <sheetName val="_削薄處指示說明_(2)29"/>
      <sheetName val="_削薄處指示說明_(3)29"/>
      <sheetName val="_削薄處指示說明_(4)29"/>
      <sheetName val="_削薄處指示說明_(5)29"/>
      <sheetName val="劃線印刷指示說明_(2)29"/>
      <sheetName val="劃線印刷指示說明_(3)29"/>
      <sheetName val="折邊指示說明_29"/>
      <sheetName val="針車流程_(2)29"/>
      <sheetName val="針車流程_(3)29"/>
      <sheetName val="針車流程_(4)29"/>
      <sheetName val="針車流程_(5)29"/>
      <sheetName val="針車流程_(6)29"/>
      <sheetName val="_鞋面印刷作業流程29"/>
      <sheetName val="_鞋面高週波作業流程_(2)29"/>
      <sheetName val="__鞋墊作業流程29"/>
      <sheetName val="Cover_313845-102((259_)_(2)29"/>
      <sheetName val="Index_(1)29"/>
      <sheetName val="Logo_Specification_(2)29"/>
      <sheetName val="Screen_Printing_(4)29"/>
      <sheetName val="Upper_HF_Welding_Process(5)29"/>
      <sheetName val="Index_(3)29"/>
      <sheetName val="Bottom_Component_Process_Spec29"/>
      <sheetName val="Stock_Fitting_Process_(4)29"/>
      <sheetName val="Stock_Fitting_Process_(5)29"/>
      <sheetName val="Stockfit_BPFC_(2)29"/>
      <sheetName val="Assembling_Process_(3)29"/>
      <sheetName val="Assembly_BPFC_(2)29"/>
      <sheetName val="Sockliner_Sublimation_Process29"/>
      <sheetName val="Cutting_D)e_(1)29"/>
      <sheetName val="Cutting_D)e_(2)29"/>
      <sheetName val="Cutting_D)e_(3)29"/>
      <sheetName val="Stitching_Instructio_s_(3)29"/>
      <sheetName val="output_per_jam29"/>
      <sheetName val="data_Productivity29"/>
      <sheetName val="MLT_29"/>
      <sheetName val="daily_BEP29"/>
      <sheetName val="178049A_XLS29"/>
      <sheetName val="LB_CUTTING_KUROBE29"/>
      <sheetName val="Cutting(3)_3_1729"/>
      <sheetName val="Cutting(5)_3_1329"/>
      <sheetName val="Cutting(6)3_1729"/>
      <sheetName val="Molding_Piece_Schedule29"/>
      <sheetName val="Perf_Specification_(1)29"/>
      <sheetName val="Perf_Specification_(2)29"/>
      <sheetName val="Skiving_Instruction_(3)29"/>
      <sheetName val="Skiving_Instruction_(4)29"/>
      <sheetName val="Skiving_Instruction_(5)29"/>
      <sheetName val="Tapering_Instructions_3_1329"/>
      <sheetName val="Marking_Location_(3)29"/>
      <sheetName val="Triming_edge_Instructions29"/>
      <sheetName val="Reinforcement_Placement_(1)29"/>
      <sheetName val="Reinforcement_Placement_(2)29"/>
      <sheetName val="Reinforcement_Placement_(2)2_39"/>
      <sheetName val="Reinforcement_Placement_(3)29"/>
      <sheetName val="Computer_Stitching_Schedule29"/>
      <sheetName val="Stitching_Overview_Sketch29"/>
      <sheetName val="Stitching_Instructions_(5)29"/>
      <sheetName val="Stitching_Instructions_(6)29"/>
      <sheetName val="Stitching_Instructions_(6)_3_39"/>
      <sheetName val="Stitching_Instructions_(7)29"/>
      <sheetName val="Upper_Injected_Compon_Pro__(129"/>
      <sheetName val="Upper_Injected_Compon_Pro__(229"/>
      <sheetName val="Upper_HF__Printing_Welding(1)29"/>
      <sheetName val="Upper_HF_Printing_Welding(2)29"/>
      <sheetName val="Upper_HF_Welding_Process_(3)29"/>
      <sheetName val="Upper_HF_Welding_Process_(4)29"/>
      <sheetName val="Upper_HF_Printing_Welding_(5)29"/>
      <sheetName val="Upper_HF_Welding_Process_(6)29"/>
      <sheetName val="CMP_PHYLON_CSS_CONFIRMATION29"/>
      <sheetName val="Phylon_Midsole_Spec_29"/>
      <sheetName val="Stock_Fitting_Process(3)29"/>
      <sheetName val="Stock_Fitting_Process_(6)29"/>
      <sheetName val="Stock_Fitting_Process_(7)29"/>
      <sheetName val="Upper_Weight_Control29"/>
      <sheetName val="Blank_Form29"/>
      <sheetName val="Raw_Data_Sheet29"/>
      <sheetName val="SPRAY_(A_MX_PLUS)2"/>
      <sheetName val="BOLD_SISTER-STRONG_SISTER_-TOR2"/>
      <sheetName val="SHOX_NAVINA_,_SHOX_REVEAL2"/>
      <sheetName val="MODEL_SHOX_TURBO_OZ_(PS+TD)2"/>
      <sheetName val="Spray_Tower_Machine1"/>
      <sheetName val="Sheet1_(2)1"/>
      <sheetName val="LOB_Auto_CS_901"/>
      <sheetName val="LB_(80)1"/>
      <sheetName val="TABLE_OF_CONTENTS1"/>
      <sheetName val="Dispenser_Ruang_Classic1"/>
      <sheetName val="Stock_Fitting_@_x005f_x001b__x005f_x000c__1"/>
      <sheetName val="SPM_(Cutting&amp;Pre)1"/>
      <sheetName val="Stock_Fitting_@_x005f_x001b__x005f_x000c_1"/>
      <sheetName val="5_수정데이터통합1"/>
      <sheetName val="SHOX_REMID_II1"/>
      <sheetName val="PU_1"/>
      <sheetName val="3_I-Prefit_Stitching1"/>
      <sheetName val="assmb_13"/>
      <sheetName val="assmb_23"/>
      <sheetName val="assmb_33"/>
      <sheetName val="assmb_43"/>
      <sheetName val="assmb_53"/>
      <sheetName val="assmb_63"/>
      <sheetName val="assmb_73"/>
      <sheetName val="Cutting_Dies_1"/>
      <sheetName val="Culture_of_Empowerment1"/>
      <sheetName val="A_TERRA1"/>
      <sheetName val="Cover_(2)1"/>
      <sheetName val="_Cutting(1)_1"/>
      <sheetName val="_Cutting__(2)1"/>
      <sheetName val="_Cutting__(3)1"/>
      <sheetName val="_Cutting__(4)1"/>
      <sheetName val="_Cutting__(5)1"/>
      <sheetName val="Reinf_Placement_(2)1"/>
      <sheetName val="Skiving_Instructions_(2)1"/>
      <sheetName val="Skiving_Instruction31"/>
      <sheetName val="Pre-Buffing_(2)1"/>
      <sheetName val="Tongue_Label1"/>
      <sheetName val="Stitching_Instructions(1)1"/>
      <sheetName val="Stitching_Instructions(2)1"/>
      <sheetName val="Stitching_Instructions(3)1"/>
      <sheetName val="Stitching_Instructions(4)1"/>
      <sheetName val="Stitching_Instructions(5)1"/>
      <sheetName val="Stitching_Instructions(6)1"/>
      <sheetName val="H_F__Welding_Proc1"/>
      <sheetName val="TPU_CLEANING&amp;SCREEN_PRINT_1"/>
      <sheetName val="Stitching_Instruction__(2)1"/>
      <sheetName val="Skiving_Instructions_1"/>
      <sheetName val="Key_Manufacturing_Details_(1)1"/>
      <sheetName val="월별_부하운영_계획__(3)1"/>
      <sheetName val="Upper_Measureme1"/>
      <sheetName val="Stitching_(G-Flux)1"/>
      <sheetName val="Stitching_(GD-Runner)1"/>
      <sheetName val="FA-HO11_Feb_20101"/>
      <sheetName val="Form_PDCA_Single_Project_-_IA1"/>
      <sheetName val="2_대외공문1"/>
      <sheetName val="Material_name1"/>
      <sheetName val="Mold_Efficiency_Form1"/>
      <sheetName val="Cover_32"/>
      <sheetName val="Sheet1_32"/>
      <sheetName val="Index_32"/>
      <sheetName val="Spec1_32"/>
      <sheetName val="Spec__64"/>
      <sheetName val="Spec__65"/>
      <sheetName val="Spec_33"/>
      <sheetName val="Spec_632"/>
      <sheetName val="Spec7_32"/>
      <sheetName val="Spec8_32"/>
      <sheetName val="cutting___32"/>
      <sheetName val="Punch_Specification__32"/>
      <sheetName val="Logo_Specification32"/>
      <sheetName val="Strap_Specification32"/>
      <sheetName val="Part_&amp;_Group_Specification32"/>
      <sheetName val="Reinf_Placement32"/>
      <sheetName val="Skiving_instructions32"/>
      <sheetName val="Marking_locations32"/>
      <sheetName val="Folding_Locations32"/>
      <sheetName val="Stitching_Over_View32"/>
      <sheetName val="stitching_instructions_32"/>
      <sheetName val="Computer_stitched32"/>
      <sheetName val="Upper_Molded_Component_Spec__32"/>
      <sheetName val="Upper_Molded_Component_Proc__32"/>
      <sheetName val="Upper_Measurement_Spec32"/>
      <sheetName val="PFC_Revice32"/>
      <sheetName val="Cutting_Die_(1)32"/>
      <sheetName val="Cutting_Die_(2)32"/>
      <sheetName val="Cutting_Die_(3)32"/>
      <sheetName val="Perf_Specification32"/>
      <sheetName val="Marking_Location32"/>
      <sheetName val="Marking_Locations_(2)32"/>
      <sheetName val="Skiving_Instruction_(2)32"/>
      <sheetName val="Spliting_32"/>
      <sheetName val="Reinf__Placement_(1)32"/>
      <sheetName val="Reinf__Placement_(2)32"/>
      <sheetName val="Stitching_Instructions_(1)32"/>
      <sheetName val="Stitching_Instructions_(2)32"/>
      <sheetName val="Stitching_Instructions_(3)32"/>
      <sheetName val="Computer_Stitching_32"/>
      <sheetName val="Upper_Molded_Component_Spec_32"/>
      <sheetName val="PHYLON_CSS32"/>
      <sheetName val="PHYLON_CSS_SCHEDULES32"/>
      <sheetName val="PHYLON_CSS_CONFIRMATION32"/>
      <sheetName val="Outsole_Color_32"/>
      <sheetName val="Outsole_Preform_Specification54"/>
      <sheetName val="Outsole_Pressing_Process32"/>
      <sheetName val="Outsole_Degreasing_Process_32"/>
      <sheetName val="Stock_Fiting_UV-Light_Proce_32"/>
      <sheetName val="Stock_Fiting_Process_32"/>
      <sheetName val="IY_06_0732"/>
      <sheetName val="Assembly_UV-Light_Process__32"/>
      <sheetName val="Assembly_Process_6,7_32"/>
      <sheetName val="Assembly_Process_6,732"/>
      <sheetName val="IY08_09_1032"/>
      <sheetName val="Assembly_Process_8,9,10_32"/>
      <sheetName val="Assembly_Process_8,9,10_(2_)32"/>
      <sheetName val="Back_Part_Moulding_(Soccer_TP32"/>
      <sheetName val="Ecosole_Instructions_32"/>
      <sheetName val="Sockliner_Instructions32"/>
      <sheetName val="Sock_Liner_Spec_32"/>
      <sheetName val="_(6,7)32"/>
      <sheetName val="Skiving_Instruction_(1)32"/>
      <sheetName val="Spliting_Instructions32"/>
      <sheetName val="Tapering_Instructions32"/>
      <sheetName val="Marking_Location_(1)32"/>
      <sheetName val="Marking_Location_(2)32"/>
      <sheetName val="Trim_&amp;_Edge-painting32"/>
      <sheetName val="Reinforcement_Placement32"/>
      <sheetName val="Folding_Location32"/>
      <sheetName val="Pre-Buffing_Specification32"/>
      <sheetName val="Stitching_Instructions_(4)32"/>
      <sheetName val="Upper_Laser_Process-_Spec_32"/>
      <sheetName val="Upper_Laser_Process-Spec_(2)_32"/>
      <sheetName val="Upper_Laser_Process-Spec__(3)32"/>
      <sheetName val="Sockliner__Process32"/>
      <sheetName val="Outsole_Color_Schedule32"/>
      <sheetName val="Outsole_Preform_Specification55"/>
      <sheetName val="Outsole_Pressing_Process_32"/>
      <sheetName val="PU_CSS_CONFIRMATION32"/>
      <sheetName val="PU_CSS_Schedules32"/>
      <sheetName val="PU_Midsole_Spec_I32"/>
      <sheetName val="Stock_Fitting_Process_(8)32"/>
      <sheetName val="Stock_Fitting_Process_32"/>
      <sheetName val="Stock_Fitting_Process32"/>
      <sheetName val="Stock_Fitting_Process_(2)32"/>
      <sheetName val="Stock_Fitting_Process_(3)32"/>
      <sheetName val="Stockfit_BPFC32"/>
      <sheetName val="Assembling_Process32"/>
      <sheetName val="Assembling_Process_(2)32"/>
      <sheetName val="Assembly_BPFC32"/>
      <sheetName val="Production_Checklist32"/>
      <sheetName val="Sockliner_Specification32"/>
      <sheetName val="Upper_Measurement_Spec_32"/>
      <sheetName val="索引_(1)32"/>
      <sheetName val="沖孔規格說明_(2)32"/>
      <sheetName val="_削薄處指示說明32"/>
      <sheetName val="_削薄處指示說明_(2)32"/>
      <sheetName val="_削薄處指示說明_(3)32"/>
      <sheetName val="_削薄處指示說明_(4)32"/>
      <sheetName val="_削薄處指示說明_(5)32"/>
      <sheetName val="劃線印刷指示說明_(2)32"/>
      <sheetName val="劃線印刷指示說明_(3)32"/>
      <sheetName val="折邊指示說明_32"/>
      <sheetName val="針車流程_(2)32"/>
      <sheetName val="針車流程_(3)32"/>
      <sheetName val="針車流程_(4)32"/>
      <sheetName val="針車流程_(5)32"/>
      <sheetName val="針車流程_(6)32"/>
      <sheetName val="_鞋面印刷作業流程32"/>
      <sheetName val="_鞋面高週波作業流程_(2)32"/>
      <sheetName val="__鞋墊作業流程32"/>
      <sheetName val="Cover_313845-102((259_)_(2)32"/>
      <sheetName val="Index_(1)32"/>
      <sheetName val="Logo_Specification_(2)32"/>
      <sheetName val="Screen_Printing_(4)32"/>
      <sheetName val="Upper_HF_Welding_Process(5)32"/>
      <sheetName val="Index_(3)32"/>
      <sheetName val="Bottom_Component_Process_Spec32"/>
      <sheetName val="Stock_Fitting_Process_(4)32"/>
      <sheetName val="Stock_Fitting_Process_(5)32"/>
      <sheetName val="Stockfit_BPFC_(2)32"/>
      <sheetName val="Assembling_Process_(3)32"/>
      <sheetName val="Assembly_BPFC_(2)32"/>
      <sheetName val="Sockliner_Sublimation_Process32"/>
      <sheetName val="Cutting_D)e_(1)32"/>
      <sheetName val="Cutting_D)e_(2)32"/>
      <sheetName val="Cutting_D)e_(3)32"/>
      <sheetName val="Stitching_Instructio_s_(3)32"/>
      <sheetName val="output_per_jam32"/>
      <sheetName val="data_Productivity32"/>
      <sheetName val="MLT_32"/>
      <sheetName val="daily_BEP32"/>
      <sheetName val="178049A_XLS32"/>
      <sheetName val="LB_CUTTING_KUROBE32"/>
      <sheetName val="Cutting(3)_3_1732"/>
      <sheetName val="Cutting(5)_3_1332"/>
      <sheetName val="Cutting(6)3_1732"/>
      <sheetName val="Molding_Piece_Schedule32"/>
      <sheetName val="Perf_Specification_(1)32"/>
      <sheetName val="Perf_Specification_(2)32"/>
      <sheetName val="Skiving_Instruction_(3)32"/>
      <sheetName val="Skiving_Instruction_(4)32"/>
      <sheetName val="Skiving_Instruction_(5)32"/>
      <sheetName val="Tapering_Instructions_3_1332"/>
      <sheetName val="Marking_Location_(3)32"/>
      <sheetName val="Triming_edge_Instructions32"/>
      <sheetName val="Reinforcement_Placement_(1)32"/>
      <sheetName val="Reinforcement_Placement_(2)32"/>
      <sheetName val="Reinforcement_Placement_(2)2_42"/>
      <sheetName val="Reinforcement_Placement_(3)32"/>
      <sheetName val="Computer_Stitching_Schedule32"/>
      <sheetName val="Stitching_Overview_Sketch32"/>
      <sheetName val="Stitching_Instructions_(5)32"/>
      <sheetName val="Stitching_Instructions_(6)32"/>
      <sheetName val="Stitching_Instructions_(6)_3_42"/>
      <sheetName val="Stitching_Instructions_(7)32"/>
      <sheetName val="Upper_Injected_Compon_Pro__(132"/>
      <sheetName val="Upper_Injected_Compon_Pro__(232"/>
      <sheetName val="Upper_HF__Printing_Welding(1)32"/>
      <sheetName val="Upper_HF_Printing_Welding(2)32"/>
      <sheetName val="Upper_HF_Welding_Process_(3)32"/>
      <sheetName val="Upper_HF_Welding_Process_(4)32"/>
      <sheetName val="Upper_HF_Printing_Welding_(5)32"/>
      <sheetName val="Upper_HF_Welding_Process_(6)32"/>
      <sheetName val="CMP_PHYLON_CSS_CONFIRMATION32"/>
      <sheetName val="Phylon_Midsole_Spec_32"/>
      <sheetName val="Stock_Fitting_Process(3)32"/>
      <sheetName val="Stock_Fitting_Process_(6)32"/>
      <sheetName val="Stock_Fitting_Process_(7)32"/>
      <sheetName val="Upper_Weight_Control32"/>
      <sheetName val="Blank_Form32"/>
      <sheetName val="Raw_Data_Sheet32"/>
      <sheetName val="SPRAY_(A_MX_PLUS)5"/>
      <sheetName val="BOLD_SISTER-STRONG_SISTER_-TOR5"/>
      <sheetName val="SHOX_NAVINA_,_SHOX_REVEAL5"/>
      <sheetName val="MODEL_SHOX_TURBO_OZ_(PS+TD)5"/>
      <sheetName val="Spray_Tower_Machine4"/>
      <sheetName val="Sheet1_(2)4"/>
      <sheetName val="LOB_Auto_CS_904"/>
      <sheetName val="LB_(80)4"/>
      <sheetName val="TABLE_OF_CONTENTS4"/>
      <sheetName val="Dispenser_Ruang_Classic4"/>
      <sheetName val="Stock_Fitting_@_x005f_x001b__x005f_x000c__4"/>
      <sheetName val="SPM_(Cutting&amp;Pre)4"/>
      <sheetName val="Stock_Fitting_@_x005f_x001b__x005f_x000c_4"/>
      <sheetName val="5_수정데이터통합4"/>
      <sheetName val="SHOX_REMID_II4"/>
      <sheetName val="PU_4"/>
      <sheetName val="3_I-Prefit_Stitching4"/>
      <sheetName val="assmb_16"/>
      <sheetName val="assmb_26"/>
      <sheetName val="assmb_36"/>
      <sheetName val="assmb_46"/>
      <sheetName val="assmb_56"/>
      <sheetName val="assmb_66"/>
      <sheetName val="assmb_76"/>
      <sheetName val="Cutting_Dies_4"/>
      <sheetName val="Culture_of_Empowerment4"/>
      <sheetName val="A_TERRA4"/>
      <sheetName val="Cover_(2)4"/>
      <sheetName val="_Cutting(1)_4"/>
      <sheetName val="_Cutting__(2)4"/>
      <sheetName val="_Cutting__(3)4"/>
      <sheetName val="_Cutting__(4)4"/>
      <sheetName val="_Cutting__(5)4"/>
      <sheetName val="Reinf_Placement_(2)4"/>
      <sheetName val="Skiving_Instructions_(2)4"/>
      <sheetName val="Skiving_Instruction34"/>
      <sheetName val="Pre-Buffing_(2)4"/>
      <sheetName val="Tongue_Label4"/>
      <sheetName val="Stitching_Instructions(1)4"/>
      <sheetName val="Stitching_Instructions(2)4"/>
      <sheetName val="Stitching_Instructions(3)4"/>
      <sheetName val="Stitching_Instructions(4)4"/>
      <sheetName val="Stitching_Instructions(5)4"/>
      <sheetName val="Stitching_Instructions(6)4"/>
      <sheetName val="H_F__Welding_Proc4"/>
      <sheetName val="TPU_CLEANING&amp;SCREEN_PRINT_4"/>
      <sheetName val="Stitching_Instruction__(2)4"/>
      <sheetName val="Skiving_Instructions_4"/>
      <sheetName val="Key_Manufacturing_Details_(1)4"/>
      <sheetName val="월별_부하운영_계획__(3)4"/>
      <sheetName val="Upper_Measureme4"/>
      <sheetName val="Stitching_(G-Flux)4"/>
      <sheetName val="Stitching_(GD-Runner)4"/>
      <sheetName val="FA-HO11_Feb_20104"/>
      <sheetName val="Form_PDCA_Single_Project_-_IA4"/>
      <sheetName val="2_대외공문4"/>
      <sheetName val="Material_name4"/>
      <sheetName val="Mold_Efficiency_Form4"/>
      <sheetName val="Cover_30"/>
      <sheetName val="Sheet1_30"/>
      <sheetName val="Index_30"/>
      <sheetName val="Spec1_30"/>
      <sheetName val="Spec__60"/>
      <sheetName val="Spec__61"/>
      <sheetName val="Spec_31"/>
      <sheetName val="Spec_630"/>
      <sheetName val="Spec7_30"/>
      <sheetName val="Spec8_30"/>
      <sheetName val="cutting___30"/>
      <sheetName val="Punch_Specification__30"/>
      <sheetName val="Logo_Specification30"/>
      <sheetName val="Strap_Specification30"/>
      <sheetName val="Part_&amp;_Group_Specification30"/>
      <sheetName val="Reinf_Placement30"/>
      <sheetName val="Skiving_instructions30"/>
      <sheetName val="Marking_locations30"/>
      <sheetName val="Folding_Locations30"/>
      <sheetName val="Stitching_Over_View30"/>
      <sheetName val="stitching_instructions_30"/>
      <sheetName val="Computer_stitched30"/>
      <sheetName val="Upper_Molded_Component_Spec__30"/>
      <sheetName val="Upper_Molded_Component_Proc__30"/>
      <sheetName val="Upper_Measurement_Spec30"/>
      <sheetName val="PFC_Revice30"/>
      <sheetName val="Cutting_Die_(1)30"/>
      <sheetName val="Cutting_Die_(2)30"/>
      <sheetName val="Cutting_Die_(3)30"/>
      <sheetName val="Perf_Specification30"/>
      <sheetName val="Marking_Location30"/>
      <sheetName val="Marking_Locations_(2)30"/>
      <sheetName val="Skiving_Instruction_(2)30"/>
      <sheetName val="Spliting_30"/>
      <sheetName val="Reinf__Placement_(1)30"/>
      <sheetName val="Reinf__Placement_(2)30"/>
      <sheetName val="Stitching_Instructions_(1)30"/>
      <sheetName val="Stitching_Instructions_(2)30"/>
      <sheetName val="Stitching_Instructions_(3)30"/>
      <sheetName val="Computer_Stitching_30"/>
      <sheetName val="Upper_Molded_Component_Spec_30"/>
      <sheetName val="PHYLON_CSS30"/>
      <sheetName val="PHYLON_CSS_SCHEDULES30"/>
      <sheetName val="PHYLON_CSS_CONFIRMATION30"/>
      <sheetName val="Outsole_Color_30"/>
      <sheetName val="Outsole_Preform_Specification50"/>
      <sheetName val="Outsole_Pressing_Process30"/>
      <sheetName val="Outsole_Degreasing_Process_30"/>
      <sheetName val="Stock_Fiting_UV-Light_Proce_30"/>
      <sheetName val="Stock_Fiting_Process_30"/>
      <sheetName val="IY_06_0730"/>
      <sheetName val="Assembly_UV-Light_Process__30"/>
      <sheetName val="Assembly_Process_6,7_30"/>
      <sheetName val="Assembly_Process_6,730"/>
      <sheetName val="IY08_09_1030"/>
      <sheetName val="Assembly_Process_8,9,10_30"/>
      <sheetName val="Assembly_Process_8,9,10_(2_)30"/>
      <sheetName val="Back_Part_Moulding_(Soccer_TP30"/>
      <sheetName val="Ecosole_Instructions_30"/>
      <sheetName val="Sockliner_Instructions30"/>
      <sheetName val="Sock_Liner_Spec_30"/>
      <sheetName val="_(6,7)30"/>
      <sheetName val="Skiving_Instruction_(1)30"/>
      <sheetName val="Spliting_Instructions30"/>
      <sheetName val="Tapering_Instructions30"/>
      <sheetName val="Marking_Location_(1)30"/>
      <sheetName val="Marking_Location_(2)30"/>
      <sheetName val="Trim_&amp;_Edge-painting30"/>
      <sheetName val="Reinforcement_Placement30"/>
      <sheetName val="Folding_Location30"/>
      <sheetName val="Pre-Buffing_Specification30"/>
      <sheetName val="Stitching_Instructions_(4)30"/>
      <sheetName val="Upper_Laser_Process-_Spec_30"/>
      <sheetName val="Upper_Laser_Process-Spec_(2)_30"/>
      <sheetName val="Upper_Laser_Process-Spec__(3)30"/>
      <sheetName val="Sockliner__Process30"/>
      <sheetName val="Outsole_Color_Schedule30"/>
      <sheetName val="Outsole_Preform_Specification51"/>
      <sheetName val="Outsole_Pressing_Process_30"/>
      <sheetName val="PU_CSS_CONFIRMATION30"/>
      <sheetName val="PU_CSS_Schedules30"/>
      <sheetName val="PU_Midsole_Spec_I30"/>
      <sheetName val="Stock_Fitting_Process_(8)30"/>
      <sheetName val="Stock_Fitting_Process_30"/>
      <sheetName val="Stock_Fitting_Process30"/>
      <sheetName val="Stock_Fitting_Process_(2)30"/>
      <sheetName val="Stock_Fitting_Process_(3)30"/>
      <sheetName val="Stockfit_BPFC30"/>
      <sheetName val="Assembling_Process30"/>
      <sheetName val="Assembling_Process_(2)30"/>
      <sheetName val="Assembly_BPFC30"/>
      <sheetName val="Production_Checklist30"/>
      <sheetName val="Sockliner_Specification30"/>
      <sheetName val="Upper_Measurement_Spec_30"/>
      <sheetName val="索引_(1)30"/>
      <sheetName val="沖孔規格說明_(2)30"/>
      <sheetName val="_削薄處指示說明30"/>
      <sheetName val="_削薄處指示說明_(2)30"/>
      <sheetName val="_削薄處指示說明_(3)30"/>
      <sheetName val="_削薄處指示說明_(4)30"/>
      <sheetName val="_削薄處指示說明_(5)30"/>
      <sheetName val="劃線印刷指示說明_(2)30"/>
      <sheetName val="劃線印刷指示說明_(3)30"/>
      <sheetName val="折邊指示說明_30"/>
      <sheetName val="針車流程_(2)30"/>
      <sheetName val="針車流程_(3)30"/>
      <sheetName val="針車流程_(4)30"/>
      <sheetName val="針車流程_(5)30"/>
      <sheetName val="針車流程_(6)30"/>
      <sheetName val="_鞋面印刷作業流程30"/>
      <sheetName val="_鞋面高週波作業流程_(2)30"/>
      <sheetName val="__鞋墊作業流程30"/>
      <sheetName val="Cover_313845-102((259_)_(2)30"/>
      <sheetName val="Index_(1)30"/>
      <sheetName val="Logo_Specification_(2)30"/>
      <sheetName val="Screen_Printing_(4)30"/>
      <sheetName val="Upper_HF_Welding_Process(5)30"/>
      <sheetName val="Index_(3)30"/>
      <sheetName val="Bottom_Component_Process_Spec30"/>
      <sheetName val="Stock_Fitting_Process_(4)30"/>
      <sheetName val="Stock_Fitting_Process_(5)30"/>
      <sheetName val="Stockfit_BPFC_(2)30"/>
      <sheetName val="Assembling_Process_(3)30"/>
      <sheetName val="Assembly_BPFC_(2)30"/>
      <sheetName val="Sockliner_Sublimation_Process30"/>
      <sheetName val="Cutting_D)e_(1)30"/>
      <sheetName val="Cutting_D)e_(2)30"/>
      <sheetName val="Cutting_D)e_(3)30"/>
      <sheetName val="Stitching_Instructio_s_(3)30"/>
      <sheetName val="output_per_jam30"/>
      <sheetName val="data_Productivity30"/>
      <sheetName val="MLT_30"/>
      <sheetName val="daily_BEP30"/>
      <sheetName val="178049A_XLS30"/>
      <sheetName val="LB_CUTTING_KUROBE30"/>
      <sheetName val="Cutting(3)_3_1730"/>
      <sheetName val="Cutting(5)_3_1330"/>
      <sheetName val="Cutting(6)3_1730"/>
      <sheetName val="Molding_Piece_Schedule30"/>
      <sheetName val="Perf_Specification_(1)30"/>
      <sheetName val="Perf_Specification_(2)30"/>
      <sheetName val="Skiving_Instruction_(3)30"/>
      <sheetName val="Skiving_Instruction_(4)30"/>
      <sheetName val="Skiving_Instruction_(5)30"/>
      <sheetName val="Tapering_Instructions_3_1330"/>
      <sheetName val="Marking_Location_(3)30"/>
      <sheetName val="Triming_edge_Instructions30"/>
      <sheetName val="Reinforcement_Placement_(1)30"/>
      <sheetName val="Reinforcement_Placement_(2)30"/>
      <sheetName val="Reinforcement_Placement_(2)2_40"/>
      <sheetName val="Reinforcement_Placement_(3)30"/>
      <sheetName val="Computer_Stitching_Schedule30"/>
      <sheetName val="Stitching_Overview_Sketch30"/>
      <sheetName val="Stitching_Instructions_(5)30"/>
      <sheetName val="Stitching_Instructions_(6)30"/>
      <sheetName val="Stitching_Instructions_(6)_3_40"/>
      <sheetName val="Stitching_Instructions_(7)30"/>
      <sheetName val="Upper_Injected_Compon_Pro__(130"/>
      <sheetName val="Upper_Injected_Compon_Pro__(230"/>
      <sheetName val="Upper_HF__Printing_Welding(1)30"/>
      <sheetName val="Upper_HF_Printing_Welding(2)30"/>
      <sheetName val="Upper_HF_Welding_Process_(3)30"/>
      <sheetName val="Upper_HF_Welding_Process_(4)30"/>
      <sheetName val="Upper_HF_Printing_Welding_(5)30"/>
      <sheetName val="Upper_HF_Welding_Process_(6)30"/>
      <sheetName val="CMP_PHYLON_CSS_CONFIRMATION30"/>
      <sheetName val="Phylon_Midsole_Spec_30"/>
      <sheetName val="Stock_Fitting_Process(3)30"/>
      <sheetName val="Stock_Fitting_Process_(6)30"/>
      <sheetName val="Stock_Fitting_Process_(7)30"/>
      <sheetName val="Upper_Weight_Control30"/>
      <sheetName val="Blank_Form30"/>
      <sheetName val="Raw_Data_Sheet30"/>
      <sheetName val="SPRAY_(A_MX_PLUS)3"/>
      <sheetName val="BOLD_SISTER-STRONG_SISTER_-TOR3"/>
      <sheetName val="SHOX_NAVINA_,_SHOX_REVEAL3"/>
      <sheetName val="MODEL_SHOX_TURBO_OZ_(PS+TD)3"/>
      <sheetName val="Spray_Tower_Machine2"/>
      <sheetName val="Sheet1_(2)2"/>
      <sheetName val="LOB_Auto_CS_902"/>
      <sheetName val="LB_(80)2"/>
      <sheetName val="TABLE_OF_CONTENTS2"/>
      <sheetName val="Dispenser_Ruang_Classic2"/>
      <sheetName val="Stock_Fitting_@_x005f_x001b__x005f_x000c__2"/>
      <sheetName val="SPM_(Cutting&amp;Pre)2"/>
      <sheetName val="Stock_Fitting_@_x005f_x001b__x005f_x000c_2"/>
      <sheetName val="5_수정데이터통합2"/>
      <sheetName val="SHOX_REMID_II2"/>
      <sheetName val="PU_2"/>
      <sheetName val="3_I-Prefit_Stitching2"/>
      <sheetName val="assmb_14"/>
      <sheetName val="assmb_24"/>
      <sheetName val="assmb_34"/>
      <sheetName val="assmb_44"/>
      <sheetName val="assmb_54"/>
      <sheetName val="assmb_64"/>
      <sheetName val="assmb_74"/>
      <sheetName val="Cutting_Dies_2"/>
      <sheetName val="Culture_of_Empowerment2"/>
      <sheetName val="A_TERRA2"/>
      <sheetName val="Cover_(2)2"/>
      <sheetName val="_Cutting(1)_2"/>
      <sheetName val="_Cutting__(2)2"/>
      <sheetName val="_Cutting__(3)2"/>
      <sheetName val="_Cutting__(4)2"/>
      <sheetName val="_Cutting__(5)2"/>
      <sheetName val="Reinf_Placement_(2)2"/>
      <sheetName val="Skiving_Instructions_(2)2"/>
      <sheetName val="Skiving_Instruction32"/>
      <sheetName val="Pre-Buffing_(2)2"/>
      <sheetName val="Tongue_Label2"/>
      <sheetName val="Stitching_Instructions(1)2"/>
      <sheetName val="Stitching_Instructions(2)2"/>
      <sheetName val="Stitching_Instructions(3)2"/>
      <sheetName val="Stitching_Instructions(4)2"/>
      <sheetName val="Stitching_Instructions(5)2"/>
      <sheetName val="Stitching_Instructions(6)2"/>
      <sheetName val="H_F__Welding_Proc2"/>
      <sheetName val="TPU_CLEANING&amp;SCREEN_PRINT_2"/>
      <sheetName val="Stitching_Instruction__(2)2"/>
      <sheetName val="Skiving_Instructions_2"/>
      <sheetName val="Key_Manufacturing_Details_(1)2"/>
      <sheetName val="월별_부하운영_계획__(3)2"/>
      <sheetName val="Upper_Measureme2"/>
      <sheetName val="Stitching_(G-Flux)2"/>
      <sheetName val="Stitching_(GD-Runner)2"/>
      <sheetName val="FA-HO11_Feb_20102"/>
      <sheetName val="Form_PDCA_Single_Project_-_IA2"/>
      <sheetName val="2_대외공문2"/>
      <sheetName val="Material_name2"/>
      <sheetName val="Mold_Efficiency_Form2"/>
      <sheetName val="Cover_31"/>
      <sheetName val="Sheet1_31"/>
      <sheetName val="Index_31"/>
      <sheetName val="Spec1_31"/>
      <sheetName val="Spec__62"/>
      <sheetName val="Spec__63"/>
      <sheetName val="Spec_32"/>
      <sheetName val="Spec_631"/>
      <sheetName val="Spec7_31"/>
      <sheetName val="Spec8_31"/>
      <sheetName val="cutting___31"/>
      <sheetName val="Punch_Specification__31"/>
      <sheetName val="Logo_Specification31"/>
      <sheetName val="Strap_Specification31"/>
      <sheetName val="Part_&amp;_Group_Specification31"/>
      <sheetName val="Reinf_Placement31"/>
      <sheetName val="Skiving_instructions31"/>
      <sheetName val="Marking_locations31"/>
      <sheetName val="Folding_Locations31"/>
      <sheetName val="Stitching_Over_View31"/>
      <sheetName val="stitching_instructions_31"/>
      <sheetName val="Computer_stitched31"/>
      <sheetName val="Upper_Molded_Component_Spec__31"/>
      <sheetName val="Upper_Molded_Component_Proc__31"/>
      <sheetName val="Upper_Measurement_Spec31"/>
      <sheetName val="PFC_Revice31"/>
      <sheetName val="Cutting_Die_(1)31"/>
      <sheetName val="Cutting_Die_(2)31"/>
      <sheetName val="Cutting_Die_(3)31"/>
      <sheetName val="Perf_Specification31"/>
      <sheetName val="Marking_Location31"/>
      <sheetName val="Marking_Locations_(2)31"/>
      <sheetName val="Skiving_Instruction_(2)31"/>
      <sheetName val="Spliting_31"/>
      <sheetName val="Reinf__Placement_(1)31"/>
      <sheetName val="Reinf__Placement_(2)31"/>
      <sheetName val="Stitching_Instructions_(1)31"/>
      <sheetName val="Stitching_Instructions_(2)31"/>
      <sheetName val="Stitching_Instructions_(3)31"/>
      <sheetName val="Computer_Stitching_31"/>
      <sheetName val="Upper_Molded_Component_Spec_31"/>
      <sheetName val="PHYLON_CSS31"/>
      <sheetName val="PHYLON_CSS_SCHEDULES31"/>
      <sheetName val="PHYLON_CSS_CONFIRMATION31"/>
      <sheetName val="Outsole_Color_31"/>
      <sheetName val="Outsole_Preform_Specification52"/>
      <sheetName val="Outsole_Pressing_Process31"/>
      <sheetName val="Outsole_Degreasing_Process_31"/>
      <sheetName val="Stock_Fiting_UV-Light_Proce_31"/>
      <sheetName val="Stock_Fiting_Process_31"/>
      <sheetName val="IY_06_0731"/>
      <sheetName val="Assembly_UV-Light_Process__31"/>
      <sheetName val="Assembly_Process_6,7_31"/>
      <sheetName val="Assembly_Process_6,731"/>
      <sheetName val="IY08_09_1031"/>
      <sheetName val="Assembly_Process_8,9,10_31"/>
      <sheetName val="Assembly_Process_8,9,10_(2_)31"/>
      <sheetName val="Back_Part_Moulding_(Soccer_TP31"/>
      <sheetName val="Ecosole_Instructions_31"/>
      <sheetName val="Sockliner_Instructions31"/>
      <sheetName val="Sock_Liner_Spec_31"/>
      <sheetName val="_(6,7)31"/>
      <sheetName val="Skiving_Instruction_(1)31"/>
      <sheetName val="Spliting_Instructions31"/>
      <sheetName val="Tapering_Instructions31"/>
      <sheetName val="Marking_Location_(1)31"/>
      <sheetName val="Marking_Location_(2)31"/>
      <sheetName val="Trim_&amp;_Edge-painting31"/>
      <sheetName val="Reinforcement_Placement31"/>
      <sheetName val="Folding_Location31"/>
      <sheetName val="Pre-Buffing_Specification31"/>
      <sheetName val="Stitching_Instructions_(4)31"/>
      <sheetName val="Upper_Laser_Process-_Spec_31"/>
      <sheetName val="Upper_Laser_Process-Spec_(2)_31"/>
      <sheetName val="Upper_Laser_Process-Spec__(3)31"/>
      <sheetName val="Sockliner__Process31"/>
      <sheetName val="Outsole_Color_Schedule31"/>
      <sheetName val="Outsole_Preform_Specification53"/>
      <sheetName val="Outsole_Pressing_Process_31"/>
      <sheetName val="PU_CSS_CONFIRMATION31"/>
      <sheetName val="PU_CSS_Schedules31"/>
      <sheetName val="PU_Midsole_Spec_I31"/>
      <sheetName val="Stock_Fitting_Process_(8)31"/>
      <sheetName val="Stock_Fitting_Process_31"/>
      <sheetName val="Stock_Fitting_Process31"/>
      <sheetName val="Stock_Fitting_Process_(2)31"/>
      <sheetName val="Stock_Fitting_Process_(3)31"/>
      <sheetName val="Stockfit_BPFC31"/>
      <sheetName val="Assembling_Process31"/>
      <sheetName val="Assembling_Process_(2)31"/>
      <sheetName val="Assembly_BPFC31"/>
      <sheetName val="Production_Checklist31"/>
      <sheetName val="Sockliner_Specification31"/>
      <sheetName val="Upper_Measurement_Spec_31"/>
      <sheetName val="索引_(1)31"/>
      <sheetName val="沖孔規格說明_(2)31"/>
      <sheetName val="_削薄處指示說明31"/>
      <sheetName val="_削薄處指示說明_(2)31"/>
      <sheetName val="_削薄處指示說明_(3)31"/>
      <sheetName val="_削薄處指示說明_(4)31"/>
      <sheetName val="_削薄處指示說明_(5)31"/>
      <sheetName val="劃線印刷指示說明_(2)31"/>
      <sheetName val="劃線印刷指示說明_(3)31"/>
      <sheetName val="折邊指示說明_31"/>
      <sheetName val="針車流程_(2)31"/>
      <sheetName val="針車流程_(3)31"/>
      <sheetName val="針車流程_(4)31"/>
      <sheetName val="針車流程_(5)31"/>
      <sheetName val="針車流程_(6)31"/>
      <sheetName val="_鞋面印刷作業流程31"/>
      <sheetName val="_鞋面高週波作業流程_(2)31"/>
      <sheetName val="__鞋墊作業流程31"/>
      <sheetName val="Cover_313845-102((259_)_(2)31"/>
      <sheetName val="Index_(1)31"/>
      <sheetName val="Logo_Specification_(2)31"/>
      <sheetName val="Screen_Printing_(4)31"/>
      <sheetName val="Upper_HF_Welding_Process(5)31"/>
      <sheetName val="Index_(3)31"/>
      <sheetName val="Bottom_Component_Process_Spec31"/>
      <sheetName val="Stock_Fitting_Process_(4)31"/>
      <sheetName val="Stock_Fitting_Process_(5)31"/>
      <sheetName val="Stockfit_BPFC_(2)31"/>
      <sheetName val="Assembling_Process_(3)31"/>
      <sheetName val="Assembly_BPFC_(2)31"/>
      <sheetName val="Sockliner_Sublimation_Process31"/>
      <sheetName val="Cutting_D)e_(1)31"/>
      <sheetName val="Cutting_D)e_(2)31"/>
      <sheetName val="Cutting_D)e_(3)31"/>
      <sheetName val="Stitching_Instructio_s_(3)31"/>
      <sheetName val="output_per_jam31"/>
      <sheetName val="data_Productivity31"/>
      <sheetName val="MLT_31"/>
      <sheetName val="daily_BEP31"/>
      <sheetName val="178049A_XLS31"/>
      <sheetName val="LB_CUTTING_KUROBE31"/>
      <sheetName val="Cutting(3)_3_1731"/>
      <sheetName val="Cutting(5)_3_1331"/>
      <sheetName val="Cutting(6)3_1731"/>
      <sheetName val="Molding_Piece_Schedule31"/>
      <sheetName val="Perf_Specification_(1)31"/>
      <sheetName val="Perf_Specification_(2)31"/>
      <sheetName val="Skiving_Instruction_(3)31"/>
      <sheetName val="Skiving_Instruction_(4)31"/>
      <sheetName val="Skiving_Instruction_(5)31"/>
      <sheetName val="Tapering_Instructions_3_1331"/>
      <sheetName val="Marking_Location_(3)31"/>
      <sheetName val="Triming_edge_Instructions31"/>
      <sheetName val="Reinforcement_Placement_(1)31"/>
      <sheetName val="Reinforcement_Placement_(2)31"/>
      <sheetName val="Reinforcement_Placement_(2)2_41"/>
      <sheetName val="Reinforcement_Placement_(3)31"/>
      <sheetName val="Computer_Stitching_Schedule31"/>
      <sheetName val="Stitching_Overview_Sketch31"/>
      <sheetName val="Stitching_Instructions_(5)31"/>
      <sheetName val="Stitching_Instructions_(6)31"/>
      <sheetName val="Stitching_Instructions_(6)_3_41"/>
      <sheetName val="Stitching_Instructions_(7)31"/>
      <sheetName val="Upper_Injected_Compon_Pro__(131"/>
      <sheetName val="Upper_Injected_Compon_Pro__(231"/>
      <sheetName val="Upper_HF__Printing_Welding(1)31"/>
      <sheetName val="Upper_HF_Printing_Welding(2)31"/>
      <sheetName val="Upper_HF_Welding_Process_(3)31"/>
      <sheetName val="Upper_HF_Welding_Process_(4)31"/>
      <sheetName val="Upper_HF_Printing_Welding_(5)31"/>
      <sheetName val="Upper_HF_Welding_Process_(6)31"/>
      <sheetName val="CMP_PHYLON_CSS_CONFIRMATION31"/>
      <sheetName val="Phylon_Midsole_Spec_31"/>
      <sheetName val="Stock_Fitting_Process(3)31"/>
      <sheetName val="Stock_Fitting_Process_(6)31"/>
      <sheetName val="Stock_Fitting_Process_(7)31"/>
      <sheetName val="Upper_Weight_Control31"/>
      <sheetName val="Blank_Form31"/>
      <sheetName val="Raw_Data_Sheet31"/>
      <sheetName val="SPRAY_(A_MX_PLUS)4"/>
      <sheetName val="BOLD_SISTER-STRONG_SISTER_-TOR4"/>
      <sheetName val="SHOX_NAVINA_,_SHOX_REVEAL4"/>
      <sheetName val="MODEL_SHOX_TURBO_OZ_(PS+TD)4"/>
      <sheetName val="Spray_Tower_Machine3"/>
      <sheetName val="Sheet1_(2)3"/>
      <sheetName val="LOB_Auto_CS_903"/>
      <sheetName val="LB_(80)3"/>
      <sheetName val="TABLE_OF_CONTENTS3"/>
      <sheetName val="Dispenser_Ruang_Classic3"/>
      <sheetName val="Stock_Fitting_@_x005f_x001b__x005f_x000c__3"/>
      <sheetName val="SPM_(Cutting&amp;Pre)3"/>
      <sheetName val="Stock_Fitting_@_x005f_x001b__x005f_x000c_3"/>
      <sheetName val="5_수정데이터통합3"/>
      <sheetName val="SHOX_REMID_II3"/>
      <sheetName val="PU_3"/>
      <sheetName val="3_I-Prefit_Stitching3"/>
      <sheetName val="assmb_15"/>
      <sheetName val="assmb_25"/>
      <sheetName val="assmb_35"/>
      <sheetName val="assmb_45"/>
      <sheetName val="assmb_55"/>
      <sheetName val="assmb_65"/>
      <sheetName val="assmb_75"/>
      <sheetName val="Cutting_Dies_3"/>
      <sheetName val="Culture_of_Empowerment3"/>
      <sheetName val="A_TERRA3"/>
      <sheetName val="Cover_(2)3"/>
      <sheetName val="_Cutting(1)_3"/>
      <sheetName val="_Cutting__(2)3"/>
      <sheetName val="_Cutting__(3)3"/>
      <sheetName val="_Cutting__(4)3"/>
      <sheetName val="_Cutting__(5)3"/>
      <sheetName val="Reinf_Placement_(2)3"/>
      <sheetName val="Skiving_Instructions_(2)3"/>
      <sheetName val="Skiving_Instruction33"/>
      <sheetName val="Pre-Buffing_(2)3"/>
      <sheetName val="Tongue_Label3"/>
      <sheetName val="Stitching_Instructions(1)3"/>
      <sheetName val="Stitching_Instructions(2)3"/>
      <sheetName val="Stitching_Instructions(3)3"/>
      <sheetName val="Stitching_Instructions(4)3"/>
      <sheetName val="Stitching_Instructions(5)3"/>
      <sheetName val="Stitching_Instructions(6)3"/>
      <sheetName val="H_F__Welding_Proc3"/>
      <sheetName val="TPU_CLEANING&amp;SCREEN_PRINT_3"/>
      <sheetName val="Stitching_Instruction__(2)3"/>
      <sheetName val="Skiving_Instructions_3"/>
      <sheetName val="Key_Manufacturing_Details_(1)3"/>
      <sheetName val="월별_부하운영_계획__(3)3"/>
      <sheetName val="Upper_Measureme3"/>
      <sheetName val="Stitching_(G-Flux)3"/>
      <sheetName val="Stitching_(GD-Runner)3"/>
      <sheetName val="FA-HO11_Feb_20103"/>
      <sheetName val="Form_PDCA_Single_Project_-_IA3"/>
      <sheetName val="2_대외공문3"/>
      <sheetName val="Material_name3"/>
      <sheetName val="Mold_Efficiency_Form3"/>
      <sheetName val="Cover_33"/>
      <sheetName val="Sheet1_33"/>
      <sheetName val="Index_33"/>
      <sheetName val="Spec1_33"/>
      <sheetName val="Spec__66"/>
      <sheetName val="Spec__67"/>
      <sheetName val="Spec_34"/>
      <sheetName val="Spec_633"/>
      <sheetName val="Spec7_33"/>
      <sheetName val="Spec8_33"/>
      <sheetName val="cutting___33"/>
      <sheetName val="Punch_Specification__33"/>
      <sheetName val="Logo_Specification33"/>
      <sheetName val="Strap_Specification33"/>
      <sheetName val="Part_&amp;_Group_Specification33"/>
      <sheetName val="Reinf_Placement33"/>
      <sheetName val="Skiving_instructions33"/>
      <sheetName val="Marking_locations33"/>
      <sheetName val="Folding_Locations33"/>
      <sheetName val="Stitching_Over_View33"/>
      <sheetName val="stitching_instructions_33"/>
      <sheetName val="Computer_stitched33"/>
      <sheetName val="Upper_Molded_Component_Spec__33"/>
      <sheetName val="Upper_Molded_Component_Proc__33"/>
      <sheetName val="Upper_Measurement_Spec33"/>
      <sheetName val="PFC_Revice33"/>
      <sheetName val="Cutting_Die_(1)33"/>
      <sheetName val="Cutting_Die_(2)33"/>
      <sheetName val="Cutting_Die_(3)33"/>
      <sheetName val="Perf_Specification33"/>
      <sheetName val="Marking_Location33"/>
      <sheetName val="Marking_Locations_(2)33"/>
      <sheetName val="Skiving_Instruction_(2)33"/>
      <sheetName val="Spliting_33"/>
      <sheetName val="Reinf__Placement_(1)33"/>
      <sheetName val="Reinf__Placement_(2)33"/>
      <sheetName val="Stitching_Instructions_(1)33"/>
      <sheetName val="Stitching_Instructions_(2)33"/>
      <sheetName val="Stitching_Instructions_(3)33"/>
      <sheetName val="Computer_Stitching_33"/>
      <sheetName val="Upper_Molded_Component_Spec_33"/>
      <sheetName val="PHYLON_CSS33"/>
      <sheetName val="PHYLON_CSS_SCHEDULES33"/>
      <sheetName val="PHYLON_CSS_CONFIRMATION33"/>
      <sheetName val="Outsole_Color_33"/>
      <sheetName val="Outsole_Preform_Specification56"/>
      <sheetName val="Outsole_Pressing_Process33"/>
      <sheetName val="Outsole_Degreasing_Process_33"/>
      <sheetName val="Stock_Fiting_UV-Light_Proce_33"/>
      <sheetName val="Stock_Fiting_Process_33"/>
      <sheetName val="IY_06_0733"/>
      <sheetName val="Assembly_UV-Light_Process__33"/>
      <sheetName val="Assembly_Process_6,7_33"/>
      <sheetName val="Assembly_Process_6,733"/>
      <sheetName val="IY08_09_1033"/>
      <sheetName val="Assembly_Process_8,9,10_33"/>
      <sheetName val="Assembly_Process_8,9,10_(2_)33"/>
      <sheetName val="Back_Part_Moulding_(Soccer_TP33"/>
      <sheetName val="Ecosole_Instructions_33"/>
      <sheetName val="Sockliner_Instructions33"/>
      <sheetName val="Sock_Liner_Spec_33"/>
      <sheetName val="_(6,7)33"/>
      <sheetName val="Skiving_Instruction_(1)33"/>
      <sheetName val="Spliting_Instructions33"/>
      <sheetName val="Tapering_Instructions33"/>
      <sheetName val="Marking_Location_(1)33"/>
      <sheetName val="Marking_Location_(2)33"/>
      <sheetName val="Trim_&amp;_Edge-painting33"/>
      <sheetName val="Reinforcement_Placement33"/>
      <sheetName val="Folding_Location33"/>
      <sheetName val="Pre-Buffing_Specification33"/>
      <sheetName val="Stitching_Instructions_(4)33"/>
      <sheetName val="Upper_Laser_Process-_Spec_33"/>
      <sheetName val="Upper_Laser_Process-Spec_(2)_33"/>
      <sheetName val="Upper_Laser_Process-Spec__(3)33"/>
      <sheetName val="Sockliner__Process33"/>
      <sheetName val="Outsole_Color_Schedule33"/>
      <sheetName val="Outsole_Preform_Specification57"/>
      <sheetName val="Outsole_Pressing_Process_33"/>
      <sheetName val="PU_CSS_CONFIRMATION33"/>
      <sheetName val="PU_CSS_Schedules33"/>
      <sheetName val="PU_Midsole_Spec_I33"/>
      <sheetName val="Stock_Fitting_Process_(8)33"/>
      <sheetName val="Stock_Fitting_Process_33"/>
      <sheetName val="Stock_Fitting_Process33"/>
      <sheetName val="Stock_Fitting_Process_(2)33"/>
      <sheetName val="Stock_Fitting_Process_(3)33"/>
      <sheetName val="Stockfit_BPFC33"/>
      <sheetName val="Assembling_Process33"/>
      <sheetName val="Assembling_Process_(2)33"/>
      <sheetName val="Assembly_BPFC33"/>
      <sheetName val="Production_Checklist33"/>
      <sheetName val="Sockliner_Specification33"/>
      <sheetName val="Upper_Measurement_Spec_33"/>
      <sheetName val="索引_(1)33"/>
      <sheetName val="沖孔規格說明_(2)33"/>
      <sheetName val="_削薄處指示說明33"/>
      <sheetName val="_削薄處指示說明_(2)33"/>
      <sheetName val="_削薄處指示說明_(3)33"/>
      <sheetName val="_削薄處指示說明_(4)33"/>
      <sheetName val="_削薄處指示說明_(5)33"/>
      <sheetName val="劃線印刷指示說明_(2)33"/>
      <sheetName val="劃線印刷指示說明_(3)33"/>
      <sheetName val="折邊指示說明_33"/>
      <sheetName val="針車流程_(2)33"/>
      <sheetName val="針車流程_(3)33"/>
      <sheetName val="針車流程_(4)33"/>
      <sheetName val="針車流程_(5)33"/>
      <sheetName val="針車流程_(6)33"/>
      <sheetName val="_鞋面印刷作業流程33"/>
      <sheetName val="_鞋面高週波作業流程_(2)33"/>
      <sheetName val="__鞋墊作業流程33"/>
      <sheetName val="Cover_313845-102((259_)_(2)33"/>
      <sheetName val="Index_(1)33"/>
      <sheetName val="Logo_Specification_(2)33"/>
      <sheetName val="Screen_Printing_(4)33"/>
      <sheetName val="Upper_HF_Welding_Process(5)33"/>
      <sheetName val="Index_(3)33"/>
      <sheetName val="Bottom_Component_Process_Spec33"/>
      <sheetName val="Stock_Fitting_Process_(4)33"/>
      <sheetName val="Stock_Fitting_Process_(5)33"/>
      <sheetName val="Stockfit_BPFC_(2)33"/>
      <sheetName val="Assembling_Process_(3)33"/>
      <sheetName val="Assembly_BPFC_(2)33"/>
      <sheetName val="Sockliner_Sublimation_Process33"/>
      <sheetName val="Cutting_D)e_(1)33"/>
      <sheetName val="Cutting_D)e_(2)33"/>
      <sheetName val="Cutting_D)e_(3)33"/>
      <sheetName val="Stitching_Instructio_s_(3)33"/>
      <sheetName val="output_per_jam33"/>
      <sheetName val="data_Productivity33"/>
      <sheetName val="MLT_33"/>
      <sheetName val="daily_BEP33"/>
      <sheetName val="178049A_XLS33"/>
      <sheetName val="LB_CUTTING_KUROBE33"/>
      <sheetName val="Cutting(3)_3_1733"/>
      <sheetName val="Cutting(5)_3_1333"/>
      <sheetName val="Cutting(6)3_1733"/>
      <sheetName val="Molding_Piece_Schedule33"/>
      <sheetName val="Perf_Specification_(1)33"/>
      <sheetName val="Perf_Specification_(2)33"/>
      <sheetName val="Skiving_Instruction_(3)33"/>
      <sheetName val="Skiving_Instruction_(4)33"/>
      <sheetName val="Skiving_Instruction_(5)33"/>
      <sheetName val="Tapering_Instructions_3_1333"/>
      <sheetName val="Marking_Location_(3)33"/>
      <sheetName val="Triming_edge_Instructions33"/>
      <sheetName val="Reinforcement_Placement_(1)33"/>
      <sheetName val="Reinforcement_Placement_(2)33"/>
      <sheetName val="Reinforcement_Placement_(2)2_43"/>
      <sheetName val="Reinforcement_Placement_(3)33"/>
      <sheetName val="Computer_Stitching_Schedule33"/>
      <sheetName val="Stitching_Overview_Sketch33"/>
      <sheetName val="Stitching_Instructions_(5)33"/>
      <sheetName val="Stitching_Instructions_(6)33"/>
      <sheetName val="Stitching_Instructions_(6)_3_43"/>
      <sheetName val="Stitching_Instructions_(7)33"/>
      <sheetName val="Upper_Injected_Compon_Pro__(133"/>
      <sheetName val="Upper_Injected_Compon_Pro__(233"/>
      <sheetName val="Upper_HF__Printing_Welding(1)33"/>
      <sheetName val="Upper_HF_Printing_Welding(2)33"/>
      <sheetName val="Upper_HF_Welding_Process_(3)33"/>
      <sheetName val="Upper_HF_Welding_Process_(4)33"/>
      <sheetName val="Upper_HF_Printing_Welding_(5)33"/>
      <sheetName val="Upper_HF_Welding_Process_(6)33"/>
      <sheetName val="CMP_PHYLON_CSS_CONFIRMATION33"/>
      <sheetName val="Phylon_Midsole_Spec_33"/>
      <sheetName val="Stock_Fitting_Process(3)33"/>
      <sheetName val="Stock_Fitting_Process_(6)33"/>
      <sheetName val="Stock_Fitting_Process_(7)33"/>
      <sheetName val="Upper_Weight_Control33"/>
      <sheetName val="Blank_Form33"/>
      <sheetName val="Raw_Data_Sheet33"/>
      <sheetName val="SPRAY_(A_MX_PLUS)6"/>
      <sheetName val="BOLD_SISTER-STRONG_SISTER_-TOR7"/>
      <sheetName val="SHOX_NAVINA_,_SHOX_REVEAL6"/>
      <sheetName val="MODEL_SHOX_TURBO_OZ_(PS+TD)6"/>
      <sheetName val="Spray_Tower_Machine5"/>
      <sheetName val="Sheet1_(2)5"/>
      <sheetName val="LOB_Auto_CS_905"/>
      <sheetName val="LB_(80)5"/>
      <sheetName val="TABLE_OF_CONTENTS5"/>
      <sheetName val="Dispenser_Ruang_Classic5"/>
      <sheetName val="Stock_Fitting_@_x005f_x001b__x005f_x000c__5"/>
      <sheetName val="SPM_(Cutting&amp;Pre)5"/>
      <sheetName val="Stock_Fitting_@_x005f_x001b__x005f_x000c_5"/>
      <sheetName val="5_수정데이터통합5"/>
      <sheetName val="SHOX_REMID_II5"/>
      <sheetName val="PU_5"/>
      <sheetName val="3_I-Prefit_Stitching5"/>
      <sheetName val="assmb_17"/>
      <sheetName val="assmb_27"/>
      <sheetName val="assmb_37"/>
      <sheetName val="assmb_47"/>
      <sheetName val="assmb_57"/>
      <sheetName val="assmb_67"/>
      <sheetName val="assmb_77"/>
      <sheetName val="Cutting_Dies_5"/>
      <sheetName val="Culture_of_Empowerment5"/>
      <sheetName val="A_TERRA5"/>
      <sheetName val="Cover_(2)5"/>
      <sheetName val="_Cutting(1)_5"/>
      <sheetName val="_Cutting__(2)5"/>
      <sheetName val="_Cutting__(3)5"/>
      <sheetName val="_Cutting__(4)5"/>
      <sheetName val="_Cutting__(5)5"/>
      <sheetName val="Reinf_Placement_(2)5"/>
      <sheetName val="Skiving_Instructions_(2)5"/>
      <sheetName val="Skiving_Instruction35"/>
      <sheetName val="Pre-Buffing_(2)5"/>
      <sheetName val="Tongue_Label5"/>
      <sheetName val="Stitching_Instructions(1)5"/>
      <sheetName val="Stitching_Instructions(2)5"/>
      <sheetName val="Stitching_Instructions(3)5"/>
      <sheetName val="Stitching_Instructions(4)5"/>
      <sheetName val="Stitching_Instructions(5)5"/>
      <sheetName val="Stitching_Instructions(6)5"/>
      <sheetName val="H_F__Welding_Proc5"/>
      <sheetName val="TPU_CLEANING&amp;SCREEN_PRINT_5"/>
      <sheetName val="Stitching_Instruction__(2)5"/>
      <sheetName val="Skiving_Instructions_5"/>
      <sheetName val="Key_Manufacturing_Details_(1)5"/>
      <sheetName val="월별_부하운영_계획__(3)5"/>
      <sheetName val="Upper_Measureme5"/>
      <sheetName val="Stitching_(G-Flux)5"/>
      <sheetName val="Stitching_(GD-Runner)5"/>
      <sheetName val="FA-HO11_Feb_20105"/>
      <sheetName val="Form_PDCA_Single_Project_-_IA5"/>
      <sheetName val="2_대외공문5"/>
      <sheetName val="Material_name5"/>
      <sheetName val="Mold_Efficiency_Form5"/>
      <sheetName val="Cover_34"/>
      <sheetName val="Sheet1_34"/>
      <sheetName val="Index_34"/>
      <sheetName val="Spec1_34"/>
      <sheetName val="Spec__68"/>
      <sheetName val="Spec__69"/>
      <sheetName val="Spec_35"/>
      <sheetName val="Spec_634"/>
      <sheetName val="Spec7_34"/>
      <sheetName val="Spec8_34"/>
      <sheetName val="cutting___34"/>
      <sheetName val="Punch_Specification__34"/>
      <sheetName val="Logo_Specification34"/>
      <sheetName val="Strap_Specification34"/>
      <sheetName val="Part_&amp;_Group_Specification34"/>
      <sheetName val="Reinf_Placement34"/>
      <sheetName val="Skiving_instructions34"/>
      <sheetName val="Marking_locations34"/>
      <sheetName val="Folding_Locations34"/>
      <sheetName val="Stitching_Over_View34"/>
      <sheetName val="stitching_instructions_34"/>
      <sheetName val="Computer_stitched34"/>
      <sheetName val="Upper_Molded_Component_Spec__34"/>
      <sheetName val="Upper_Molded_Component_Proc__34"/>
      <sheetName val="Upper_Measurement_Spec34"/>
      <sheetName val="PFC_Revice34"/>
      <sheetName val="Cutting_Die_(1)34"/>
      <sheetName val="Cutting_Die_(2)34"/>
      <sheetName val="Cutting_Die_(3)34"/>
      <sheetName val="Perf_Specification34"/>
      <sheetName val="Marking_Location34"/>
      <sheetName val="Marking_Locations_(2)34"/>
      <sheetName val="Skiving_Instruction_(2)34"/>
      <sheetName val="Spliting_34"/>
      <sheetName val="Reinf__Placement_(1)34"/>
      <sheetName val="Reinf__Placement_(2)34"/>
      <sheetName val="Stitching_Instructions_(1)34"/>
      <sheetName val="Stitching_Instructions_(2)34"/>
      <sheetName val="Stitching_Instructions_(3)34"/>
      <sheetName val="Computer_Stitching_34"/>
      <sheetName val="Upper_Molded_Component_Spec_34"/>
      <sheetName val="PHYLON_CSS34"/>
      <sheetName val="PHYLON_CSS_SCHEDULES34"/>
      <sheetName val="PHYLON_CSS_CONFIRMATION34"/>
      <sheetName val="Outsole_Color_34"/>
      <sheetName val="Outsole_Preform_Specification58"/>
      <sheetName val="Outsole_Pressing_Process34"/>
      <sheetName val="Outsole_Degreasing_Process_34"/>
      <sheetName val="Stock_Fiting_UV-Light_Proce_34"/>
      <sheetName val="Stock_Fiting_Process_34"/>
      <sheetName val="IY_06_0734"/>
      <sheetName val="Assembly_UV-Light_Process__34"/>
      <sheetName val="Assembly_Process_6,7_34"/>
      <sheetName val="Assembly_Process_6,734"/>
      <sheetName val="IY08_09_1034"/>
      <sheetName val="Assembly_Process_8,9,10_34"/>
      <sheetName val="Assembly_Process_8,9,10_(2_)34"/>
      <sheetName val="Back_Part_Moulding_(Soccer_TP34"/>
      <sheetName val="Ecosole_Instructions_34"/>
      <sheetName val="Sockliner_Instructions34"/>
      <sheetName val="Sock_Liner_Spec_34"/>
      <sheetName val="_(6,7)34"/>
      <sheetName val="Skiving_Instruction_(1)34"/>
      <sheetName val="Spliting_Instructions34"/>
      <sheetName val="Tapering_Instructions34"/>
      <sheetName val="Marking_Location_(1)34"/>
      <sheetName val="Marking_Location_(2)34"/>
      <sheetName val="Trim_&amp;_Edge-painting34"/>
      <sheetName val="Reinforcement_Placement34"/>
      <sheetName val="Folding_Location34"/>
      <sheetName val="Pre-Buffing_Specification34"/>
      <sheetName val="Stitching_Instructions_(4)34"/>
      <sheetName val="Upper_Laser_Process-_Spec_34"/>
      <sheetName val="Upper_Laser_Process-Spec_(2)_34"/>
      <sheetName val="Upper_Laser_Process-Spec__(3)34"/>
      <sheetName val="Sockliner__Process34"/>
      <sheetName val="Outsole_Color_Schedule34"/>
      <sheetName val="Outsole_Preform_Specification59"/>
      <sheetName val="Outsole_Pressing_Process_34"/>
      <sheetName val="PU_CSS_CONFIRMATION34"/>
      <sheetName val="PU_CSS_Schedules34"/>
      <sheetName val="PU_Midsole_Spec_I34"/>
      <sheetName val="Stock_Fitting_Process_(8)34"/>
      <sheetName val="Stock_Fitting_Process_34"/>
      <sheetName val="Stock_Fitting_Process34"/>
      <sheetName val="Stock_Fitting_Process_(2)34"/>
      <sheetName val="Stock_Fitting_Process_(3)34"/>
      <sheetName val="Stockfit_BPFC34"/>
      <sheetName val="Assembling_Process34"/>
      <sheetName val="Assembling_Process_(2)34"/>
      <sheetName val="Assembly_BPFC34"/>
      <sheetName val="Production_Checklist34"/>
      <sheetName val="Sockliner_Specification34"/>
      <sheetName val="Upper_Measurement_Spec_34"/>
      <sheetName val="索引_(1)34"/>
      <sheetName val="沖孔規格說明_(2)34"/>
      <sheetName val="_削薄處指示說明34"/>
      <sheetName val="_削薄處指示說明_(2)34"/>
      <sheetName val="_削薄處指示說明_(3)34"/>
      <sheetName val="_削薄處指示說明_(4)34"/>
      <sheetName val="_削薄處指示說明_(5)34"/>
      <sheetName val="劃線印刷指示說明_(2)34"/>
      <sheetName val="劃線印刷指示說明_(3)34"/>
      <sheetName val="折邊指示說明_34"/>
      <sheetName val="針車流程_(2)34"/>
      <sheetName val="針車流程_(3)34"/>
      <sheetName val="針車流程_(4)34"/>
      <sheetName val="針車流程_(5)34"/>
      <sheetName val="針車流程_(6)34"/>
      <sheetName val="_鞋面印刷作業流程34"/>
      <sheetName val="_鞋面高週波作業流程_(2)34"/>
      <sheetName val="__鞋墊作業流程34"/>
      <sheetName val="Cover_313845-102((259_)_(2)34"/>
      <sheetName val="Index_(1)34"/>
      <sheetName val="Logo_Specification_(2)34"/>
      <sheetName val="Screen_Printing_(4)34"/>
      <sheetName val="Upper_HF_Welding_Process(5)34"/>
      <sheetName val="Index_(3)34"/>
      <sheetName val="Bottom_Component_Process_Spec34"/>
      <sheetName val="Stock_Fitting_Process_(4)34"/>
      <sheetName val="Stock_Fitting_Process_(5)34"/>
      <sheetName val="Stockfit_BPFC_(2)34"/>
      <sheetName val="Assembling_Process_(3)34"/>
      <sheetName val="Assembly_BPFC_(2)34"/>
      <sheetName val="Sockliner_Sublimation_Process34"/>
      <sheetName val="Cutting_D)e_(1)34"/>
      <sheetName val="Cutting_D)e_(2)34"/>
      <sheetName val="Cutting_D)e_(3)34"/>
      <sheetName val="Stitching_Instructio_s_(3)34"/>
      <sheetName val="output_per_jam34"/>
      <sheetName val="data_Productivity34"/>
      <sheetName val="MLT_34"/>
      <sheetName val="daily_BEP34"/>
      <sheetName val="178049A_XLS34"/>
      <sheetName val="LB_CUTTING_KUROBE34"/>
      <sheetName val="Cutting(3)_3_1734"/>
      <sheetName val="Cutting(5)_3_1334"/>
      <sheetName val="Cutting(6)3_1734"/>
      <sheetName val="Molding_Piece_Schedule34"/>
      <sheetName val="Perf_Specification_(1)34"/>
      <sheetName val="Perf_Specification_(2)34"/>
      <sheetName val="Skiving_Instruction_(3)34"/>
      <sheetName val="Skiving_Instruction_(4)34"/>
      <sheetName val="Skiving_Instruction_(5)34"/>
      <sheetName val="Tapering_Instructions_3_1334"/>
      <sheetName val="Marking_Location_(3)34"/>
      <sheetName val="Triming_edge_Instructions34"/>
      <sheetName val="Reinforcement_Placement_(1)34"/>
      <sheetName val="Reinforcement_Placement_(2)34"/>
      <sheetName val="Reinforcement_Placement_(2)2_44"/>
      <sheetName val="Reinforcement_Placement_(3)34"/>
      <sheetName val="Computer_Stitching_Schedule34"/>
      <sheetName val="Stitching_Overview_Sketch34"/>
      <sheetName val="Stitching_Instructions_(5)34"/>
      <sheetName val="Stitching_Instructions_(6)34"/>
      <sheetName val="Stitching_Instructions_(6)_3_44"/>
      <sheetName val="Stitching_Instructions_(7)34"/>
      <sheetName val="Upper_Injected_Compon_Pro__(134"/>
      <sheetName val="Upper_Injected_Compon_Pro__(234"/>
      <sheetName val="Upper_HF__Printing_Welding(1)34"/>
      <sheetName val="Upper_HF_Printing_Welding(2)34"/>
      <sheetName val="Upper_HF_Welding_Process_(3)34"/>
      <sheetName val="Upper_HF_Welding_Process_(4)34"/>
      <sheetName val="Upper_HF_Printing_Welding_(5)34"/>
      <sheetName val="Upper_HF_Welding_Process_(6)34"/>
      <sheetName val="CMP_PHYLON_CSS_CONFIRMATION34"/>
      <sheetName val="Phylon_Midsole_Spec_34"/>
      <sheetName val="Stock_Fitting_Process(3)34"/>
      <sheetName val="Stock_Fitting_Process_(6)34"/>
      <sheetName val="Stock_Fitting_Process_(7)34"/>
      <sheetName val="Upper_Weight_Control34"/>
      <sheetName val="Blank_Form34"/>
      <sheetName val="Raw_Data_Sheet34"/>
      <sheetName val="SPRAY_(A_MX_PLUS)7"/>
      <sheetName val="BOLD_SISTER-STRONG_SISTER_-TOR8"/>
      <sheetName val="SHOX_NAVINA_,_SHOX_REVEAL7"/>
      <sheetName val="MODEL_SHOX_TURBO_OZ_(PS+TD)7"/>
      <sheetName val="Spray_Tower_Machine6"/>
      <sheetName val="Sheet1_(2)6"/>
      <sheetName val="LOB_Auto_CS_906"/>
      <sheetName val="LB_(80)6"/>
      <sheetName val="TABLE_OF_CONTENTS6"/>
      <sheetName val="Dispenser_Ruang_Classic6"/>
      <sheetName val="Stock_Fitting_@_x005f_x001b__x005f_x000c__6"/>
      <sheetName val="SPM_(Cutting&amp;Pre)6"/>
      <sheetName val="Stock_Fitting_@_x005f_x001b__x005f_x000c_6"/>
      <sheetName val="5_수정데이터통합6"/>
      <sheetName val="SHOX_REMID_II6"/>
      <sheetName val="PU_6"/>
      <sheetName val="3_I-Prefit_Stitching6"/>
      <sheetName val="assmb_18"/>
      <sheetName val="assmb_28"/>
      <sheetName val="assmb_38"/>
      <sheetName val="assmb_48"/>
      <sheetName val="assmb_58"/>
      <sheetName val="assmb_68"/>
      <sheetName val="assmb_78"/>
      <sheetName val="Cutting_Dies_6"/>
      <sheetName val="Culture_of_Empowerment6"/>
      <sheetName val="A_TERRA6"/>
      <sheetName val="Cover_(2)6"/>
      <sheetName val="_Cutting(1)_6"/>
      <sheetName val="_Cutting__(2)6"/>
      <sheetName val="_Cutting__(3)6"/>
      <sheetName val="_Cutting__(4)6"/>
      <sheetName val="_Cutting__(5)6"/>
      <sheetName val="Reinf_Placement_(2)6"/>
      <sheetName val="Skiving_Instructions_(2)6"/>
      <sheetName val="Skiving_Instruction36"/>
      <sheetName val="Pre-Buffing_(2)6"/>
      <sheetName val="Tongue_Label6"/>
      <sheetName val="Stitching_Instructions(1)6"/>
      <sheetName val="Stitching_Instructions(2)6"/>
      <sheetName val="Stitching_Instructions(3)6"/>
      <sheetName val="Stitching_Instructions(4)6"/>
      <sheetName val="Stitching_Instructions(5)6"/>
      <sheetName val="Stitching_Instructions(6)6"/>
      <sheetName val="H_F__Welding_Proc6"/>
      <sheetName val="TPU_CLEANING&amp;SCREEN_PRINT_6"/>
      <sheetName val="Stitching_Instruction__(2)6"/>
      <sheetName val="Skiving_Instructions_6"/>
      <sheetName val="Key_Manufacturing_Details_(1)6"/>
      <sheetName val="월별_부하운영_계획__(3)6"/>
      <sheetName val="Upper_Measureme6"/>
      <sheetName val="Stitching_(G-Flux)6"/>
      <sheetName val="Stitching_(GD-Runner)6"/>
      <sheetName val="FA-HO11_Feb_20106"/>
      <sheetName val="Form_PDCA_Single_Project_-_IA6"/>
      <sheetName val="2_대외공문6"/>
      <sheetName val="Material_name6"/>
      <sheetName val="Mold_Efficiency_Form6"/>
      <sheetName val="Cover_41"/>
      <sheetName val="Sheet1_41"/>
      <sheetName val="Index_41"/>
      <sheetName val="Spec1_41"/>
      <sheetName val="Spec__82"/>
      <sheetName val="Spec__83"/>
      <sheetName val="Spec_42"/>
      <sheetName val="Spec_641"/>
      <sheetName val="Spec7_41"/>
      <sheetName val="Spec8_41"/>
      <sheetName val="cutting___41"/>
      <sheetName val="Punch_Specification__41"/>
      <sheetName val="Logo_Specification41"/>
      <sheetName val="Strap_Specification41"/>
      <sheetName val="Part_&amp;_Group_Specification41"/>
      <sheetName val="Reinf_Placement41"/>
      <sheetName val="Skiving_instructions41"/>
      <sheetName val="Marking_locations41"/>
      <sheetName val="Folding_Locations41"/>
      <sheetName val="Stitching_Over_View41"/>
      <sheetName val="stitching_instructions_41"/>
      <sheetName val="Computer_stitched41"/>
      <sheetName val="Upper_Molded_Component_Spec__41"/>
      <sheetName val="Upper_Molded_Component_Proc__41"/>
      <sheetName val="Upper_Measurement_Spec41"/>
      <sheetName val="PFC_Revice41"/>
      <sheetName val="Cutting_Die_(1)41"/>
      <sheetName val="Cutting_Die_(2)41"/>
      <sheetName val="Cutting_Die_(3)41"/>
      <sheetName val="Perf_Specification41"/>
      <sheetName val="Marking_Location41"/>
      <sheetName val="Marking_Locations_(2)41"/>
      <sheetName val="Skiving_Instruction_(2)41"/>
      <sheetName val="Spliting_41"/>
      <sheetName val="Reinf__Placement_(1)41"/>
      <sheetName val="Reinf__Placement_(2)41"/>
      <sheetName val="Stitching_Instructions_(1)41"/>
      <sheetName val="Stitching_Instructions_(2)41"/>
      <sheetName val="Stitching_Instructions_(3)41"/>
      <sheetName val="Computer_Stitching_41"/>
      <sheetName val="Upper_Molded_Component_Spec_41"/>
      <sheetName val="PHYLON_CSS41"/>
      <sheetName val="PHYLON_CSS_SCHEDULES41"/>
      <sheetName val="PHYLON_CSS_CONFIRMATION41"/>
      <sheetName val="Outsole_Color_41"/>
      <sheetName val="Outsole_Preform_Specification72"/>
      <sheetName val="Outsole_Pressing_Process41"/>
      <sheetName val="Outsole_Degreasing_Process_41"/>
      <sheetName val="Stock_Fiting_UV-Light_Proce_41"/>
      <sheetName val="Stock_Fiting_Process_41"/>
      <sheetName val="IY_06_0741"/>
      <sheetName val="Assembly_UV-Light_Process__41"/>
      <sheetName val="Assembly_Process_6,7_41"/>
      <sheetName val="Assembly_Process_6,741"/>
      <sheetName val="IY08_09_1041"/>
      <sheetName val="Assembly_Process_8,9,10_41"/>
      <sheetName val="Assembly_Process_8,9,10_(2_)41"/>
      <sheetName val="Back_Part_Moulding_(Soccer_TP41"/>
      <sheetName val="Ecosole_Instructions_41"/>
      <sheetName val="Sockliner_Instructions41"/>
      <sheetName val="Sock_Liner_Spec_41"/>
      <sheetName val="_(6,7)41"/>
      <sheetName val="Skiving_Instruction_(1)41"/>
      <sheetName val="Spliting_Instructions41"/>
      <sheetName val="Tapering_Instructions41"/>
      <sheetName val="Marking_Location_(1)41"/>
      <sheetName val="Marking_Location_(2)41"/>
      <sheetName val="Trim_&amp;_Edge-painting41"/>
      <sheetName val="Reinforcement_Placement41"/>
      <sheetName val="Folding_Location41"/>
      <sheetName val="Pre-Buffing_Specification41"/>
      <sheetName val="Stitching_Instructions_(4)41"/>
      <sheetName val="Upper_Laser_Process-_Spec_41"/>
      <sheetName val="Upper_Laser_Process-Spec_(2)_41"/>
      <sheetName val="Upper_Laser_Process-Spec__(3)41"/>
      <sheetName val="Sockliner__Process41"/>
      <sheetName val="Outsole_Color_Schedule41"/>
      <sheetName val="Outsole_Preform_Specification73"/>
      <sheetName val="Outsole_Pressing_Process_41"/>
      <sheetName val="PU_CSS_CONFIRMATION41"/>
      <sheetName val="PU_CSS_Schedules41"/>
      <sheetName val="PU_Midsole_Spec_I41"/>
      <sheetName val="Stock_Fitting_Process_(8)41"/>
      <sheetName val="Stock_Fitting_Process_41"/>
      <sheetName val="Stock_Fitting_Process41"/>
      <sheetName val="Stock_Fitting_Process_(2)41"/>
      <sheetName val="Stock_Fitting_Process_(3)41"/>
      <sheetName val="Stockfit_BPFC41"/>
      <sheetName val="Assembling_Process41"/>
      <sheetName val="Assembling_Process_(2)41"/>
      <sheetName val="Assembly_BPFC41"/>
      <sheetName val="Production_Checklist41"/>
      <sheetName val="Sockliner_Specification41"/>
      <sheetName val="Upper_Measurement_Spec_41"/>
      <sheetName val="索引_(1)41"/>
      <sheetName val="沖孔規格說明_(2)41"/>
      <sheetName val="_削薄處指示說明41"/>
      <sheetName val="_削薄處指示說明_(2)41"/>
      <sheetName val="_削薄處指示說明_(3)41"/>
      <sheetName val="_削薄處指示說明_(4)41"/>
      <sheetName val="_削薄處指示說明_(5)41"/>
      <sheetName val="劃線印刷指示說明_(2)41"/>
      <sheetName val="劃線印刷指示說明_(3)41"/>
      <sheetName val="折邊指示說明_41"/>
      <sheetName val="針車流程_(2)41"/>
      <sheetName val="針車流程_(3)41"/>
      <sheetName val="針車流程_(4)41"/>
      <sheetName val="針車流程_(5)41"/>
      <sheetName val="針車流程_(6)41"/>
      <sheetName val="_鞋面印刷作業流程41"/>
      <sheetName val="_鞋面高週波作業流程_(2)41"/>
      <sheetName val="__鞋墊作業流程41"/>
      <sheetName val="Cover_313845-102((259_)_(2)41"/>
      <sheetName val="Index_(1)41"/>
      <sheetName val="Logo_Specification_(2)41"/>
      <sheetName val="Screen_Printing_(4)41"/>
      <sheetName val="Upper_HF_Welding_Process(5)41"/>
      <sheetName val="Index_(3)41"/>
      <sheetName val="Bottom_Component_Process_Spec41"/>
      <sheetName val="Stock_Fitting_Process_(4)41"/>
      <sheetName val="Stock_Fitting_Process_(5)41"/>
      <sheetName val="Stockfit_BPFC_(2)41"/>
      <sheetName val="Assembling_Process_(3)41"/>
      <sheetName val="Assembly_BPFC_(2)41"/>
      <sheetName val="Sockliner_Sublimation_Process41"/>
      <sheetName val="Cutting_D)e_(1)41"/>
      <sheetName val="Cutting_D)e_(2)41"/>
      <sheetName val="Cutting_D)e_(3)41"/>
      <sheetName val="Stitching_Instructio_s_(3)41"/>
      <sheetName val="output_per_jam41"/>
      <sheetName val="data_Productivity41"/>
      <sheetName val="MLT_41"/>
      <sheetName val="daily_BEP41"/>
      <sheetName val="178049A_XLS41"/>
      <sheetName val="LB_CUTTING_KUROBE41"/>
      <sheetName val="Cutting(3)_3_1741"/>
      <sheetName val="Cutting(5)_3_1341"/>
      <sheetName val="Cutting(6)3_1741"/>
      <sheetName val="Molding_Piece_Schedule41"/>
      <sheetName val="Perf_Specification_(1)41"/>
      <sheetName val="Perf_Specification_(2)41"/>
      <sheetName val="Skiving_Instruction_(3)41"/>
      <sheetName val="Skiving_Instruction_(4)41"/>
      <sheetName val="Skiving_Instruction_(5)41"/>
      <sheetName val="Tapering_Instructions_3_1341"/>
      <sheetName val="Marking_Location_(3)41"/>
      <sheetName val="Triming_edge_Instructions41"/>
      <sheetName val="Reinforcement_Placement_(1)41"/>
      <sheetName val="Reinforcement_Placement_(2)41"/>
      <sheetName val="Reinforcement_Placement_(2)2_51"/>
      <sheetName val="Reinforcement_Placement_(3)41"/>
      <sheetName val="Computer_Stitching_Schedule41"/>
      <sheetName val="Stitching_Overview_Sketch41"/>
      <sheetName val="Stitching_Instructions_(5)41"/>
      <sheetName val="Stitching_Instructions_(6)41"/>
      <sheetName val="Stitching_Instructions_(6)_3_51"/>
      <sheetName val="Stitching_Instructions_(7)41"/>
      <sheetName val="Upper_Injected_Compon_Pro__(141"/>
      <sheetName val="Upper_Injected_Compon_Pro__(241"/>
      <sheetName val="Upper_HF__Printing_Welding(1)41"/>
      <sheetName val="Upper_HF_Printing_Welding(2)41"/>
      <sheetName val="Upper_HF_Welding_Process_(3)41"/>
      <sheetName val="Upper_HF_Welding_Process_(4)41"/>
      <sheetName val="Upper_HF_Printing_Welding_(5)41"/>
      <sheetName val="Upper_HF_Welding_Process_(6)41"/>
      <sheetName val="CMP_PHYLON_CSS_CONFIRMATION41"/>
      <sheetName val="Phylon_Midsole_Spec_41"/>
      <sheetName val="Stock_Fitting_Process(3)41"/>
      <sheetName val="Stock_Fitting_Process_(6)41"/>
      <sheetName val="Stock_Fitting_Process_(7)41"/>
      <sheetName val="Upper_Weight_Control41"/>
      <sheetName val="Blank_Form41"/>
      <sheetName val="Raw_Data_Sheet41"/>
      <sheetName val="SPRAY_(A_MX_PLUS)14"/>
      <sheetName val="BOLD_SISTER-STRONG_SISTER_-TO15"/>
      <sheetName val="SHOX_NAVINA_,_SHOX_REVEAL14"/>
      <sheetName val="MODEL_SHOX_TURBO_OZ_(PS+TD)14"/>
      <sheetName val="Spray_Tower_Machine13"/>
      <sheetName val="Sheet1_(2)13"/>
      <sheetName val="LOB_Auto_CS_9013"/>
      <sheetName val="LB_(80)13"/>
      <sheetName val="TABLE_OF_CONTENTS13"/>
      <sheetName val="Dispenser_Ruang_Classic13"/>
      <sheetName val="Stock_Fitting_@_x005f_x001b__x005f_x000c_16"/>
      <sheetName val="SPM_(Cutting&amp;Pre)13"/>
      <sheetName val="Stock_Fitting_@_x005f_x001b__x005f_x000c_17"/>
      <sheetName val="5_수정데이터통합13"/>
      <sheetName val="SHOX_REMID_II13"/>
      <sheetName val="PU_13"/>
      <sheetName val="3_I-Prefit_Stitching13"/>
      <sheetName val="assmb_115"/>
      <sheetName val="assmb_215"/>
      <sheetName val="assmb_315"/>
      <sheetName val="assmb_415"/>
      <sheetName val="assmb_515"/>
      <sheetName val="assmb_615"/>
      <sheetName val="assmb_715"/>
      <sheetName val="Cutting_Dies_13"/>
      <sheetName val="Culture_of_Empowerment13"/>
      <sheetName val="A_TERRA13"/>
      <sheetName val="Cover_(2)13"/>
      <sheetName val="_Cutting(1)_13"/>
      <sheetName val="_Cutting__(2)13"/>
      <sheetName val="_Cutting__(3)13"/>
      <sheetName val="_Cutting__(4)13"/>
      <sheetName val="_Cutting__(5)13"/>
      <sheetName val="Reinf_Placement_(2)13"/>
      <sheetName val="Skiving_Instructions_(2)13"/>
      <sheetName val="Skiving_Instruction313"/>
      <sheetName val="Pre-Buffing_(2)13"/>
      <sheetName val="Tongue_Label13"/>
      <sheetName val="Stitching_Instructions(1)13"/>
      <sheetName val="Stitching_Instructions(2)13"/>
      <sheetName val="Stitching_Instructions(3)13"/>
      <sheetName val="Stitching_Instructions(4)13"/>
      <sheetName val="Stitching_Instructions(5)13"/>
      <sheetName val="Stitching_Instructions(6)13"/>
      <sheetName val="H_F__Welding_Proc13"/>
      <sheetName val="TPU_CLEANING&amp;SCREEN_PRINT_13"/>
      <sheetName val="Stitching_Instruction__(2)13"/>
      <sheetName val="Skiving_Instructions_13"/>
      <sheetName val="Key_Manufacturing_Details_(1)13"/>
      <sheetName val="월별_부하운영_계획__(3)13"/>
      <sheetName val="Upper_Measureme13"/>
      <sheetName val="Stitching_(G-Flux)13"/>
      <sheetName val="Stitching_(GD-Runner)13"/>
      <sheetName val="FA-HO11_Feb_201013"/>
      <sheetName val="Form_PDCA_Single_Project_-_IA13"/>
      <sheetName val="2_대외공문13"/>
      <sheetName val="Material_name13"/>
      <sheetName val="Mold_Efficiency_Form13"/>
      <sheetName val="Cover_36"/>
      <sheetName val="Sheet1_36"/>
      <sheetName val="Index_36"/>
      <sheetName val="Spec1_36"/>
      <sheetName val="Spec__72"/>
      <sheetName val="Spec__73"/>
      <sheetName val="Spec_37"/>
      <sheetName val="Spec_636"/>
      <sheetName val="Spec7_36"/>
      <sheetName val="Spec8_36"/>
      <sheetName val="cutting___36"/>
      <sheetName val="Punch_Specification__36"/>
      <sheetName val="Logo_Specification36"/>
      <sheetName val="Strap_Specification36"/>
      <sheetName val="Part_&amp;_Group_Specification36"/>
      <sheetName val="Reinf_Placement36"/>
      <sheetName val="Skiving_instructions36"/>
      <sheetName val="Marking_locations36"/>
      <sheetName val="Folding_Locations36"/>
      <sheetName val="Stitching_Over_View36"/>
      <sheetName val="stitching_instructions_36"/>
      <sheetName val="Computer_stitched36"/>
      <sheetName val="Upper_Molded_Component_Spec__36"/>
      <sheetName val="Upper_Molded_Component_Proc__36"/>
      <sheetName val="Upper_Measurement_Spec36"/>
      <sheetName val="PFC_Revice36"/>
      <sheetName val="Cutting_Die_(1)36"/>
      <sheetName val="Cutting_Die_(2)36"/>
      <sheetName val="Cutting_Die_(3)36"/>
      <sheetName val="Perf_Specification36"/>
      <sheetName val="Marking_Location36"/>
      <sheetName val="Marking_Locations_(2)36"/>
      <sheetName val="Skiving_Instruction_(2)36"/>
      <sheetName val="Spliting_36"/>
      <sheetName val="Reinf__Placement_(1)36"/>
      <sheetName val="Reinf__Placement_(2)36"/>
      <sheetName val="Stitching_Instructions_(1)36"/>
      <sheetName val="Stitching_Instructions_(2)36"/>
      <sheetName val="Stitching_Instructions_(3)36"/>
      <sheetName val="Computer_Stitching_36"/>
      <sheetName val="Upper_Molded_Component_Spec_36"/>
      <sheetName val="PHYLON_CSS36"/>
      <sheetName val="PHYLON_CSS_SCHEDULES36"/>
      <sheetName val="PHYLON_CSS_CONFIRMATION36"/>
      <sheetName val="Outsole_Color_36"/>
      <sheetName val="Outsole_Preform_Specification62"/>
      <sheetName val="Outsole_Pressing_Process36"/>
      <sheetName val="Outsole_Degreasing_Process_36"/>
      <sheetName val="Stock_Fiting_UV-Light_Proce_36"/>
      <sheetName val="Stock_Fiting_Process_36"/>
      <sheetName val="IY_06_0736"/>
      <sheetName val="Assembly_UV-Light_Process__36"/>
      <sheetName val="Assembly_Process_6,7_36"/>
      <sheetName val="Assembly_Process_6,736"/>
      <sheetName val="IY08_09_1036"/>
      <sheetName val="Assembly_Process_8,9,10_36"/>
      <sheetName val="Assembly_Process_8,9,10_(2_)36"/>
      <sheetName val="Back_Part_Moulding_(Soccer_TP36"/>
      <sheetName val="Ecosole_Instructions_36"/>
      <sheetName val="Sockliner_Instructions36"/>
      <sheetName val="Sock_Liner_Spec_36"/>
      <sheetName val="_(6,7)36"/>
      <sheetName val="Skiving_Instruction_(1)36"/>
      <sheetName val="Spliting_Instructions36"/>
      <sheetName val="Tapering_Instructions36"/>
      <sheetName val="Marking_Location_(1)36"/>
      <sheetName val="Marking_Location_(2)36"/>
      <sheetName val="Trim_&amp;_Edge-painting36"/>
      <sheetName val="Reinforcement_Placement36"/>
      <sheetName val="Folding_Location36"/>
      <sheetName val="Pre-Buffing_Specification36"/>
      <sheetName val="Stitching_Instructions_(4)36"/>
      <sheetName val="Upper_Laser_Process-_Spec_36"/>
      <sheetName val="Upper_Laser_Process-Spec_(2)_36"/>
      <sheetName val="Upper_Laser_Process-Spec__(3)36"/>
      <sheetName val="Sockliner__Process36"/>
      <sheetName val="Outsole_Color_Schedule36"/>
      <sheetName val="Outsole_Preform_Specification63"/>
      <sheetName val="Outsole_Pressing_Process_36"/>
      <sheetName val="PU_CSS_CONFIRMATION36"/>
      <sheetName val="PU_CSS_Schedules36"/>
      <sheetName val="PU_Midsole_Spec_I36"/>
      <sheetName val="Stock_Fitting_Process_(8)36"/>
      <sheetName val="Stock_Fitting_Process_36"/>
      <sheetName val="Stock_Fitting_Process36"/>
      <sheetName val="Stock_Fitting_Process_(2)36"/>
      <sheetName val="Stock_Fitting_Process_(3)36"/>
      <sheetName val="Stockfit_BPFC36"/>
      <sheetName val="Assembling_Process36"/>
      <sheetName val="Assembling_Process_(2)36"/>
      <sheetName val="Assembly_BPFC36"/>
      <sheetName val="Production_Checklist36"/>
      <sheetName val="Sockliner_Specification36"/>
      <sheetName val="Upper_Measurement_Spec_36"/>
      <sheetName val="索引_(1)36"/>
      <sheetName val="沖孔規格說明_(2)36"/>
      <sheetName val="_削薄處指示說明36"/>
      <sheetName val="_削薄處指示說明_(2)36"/>
      <sheetName val="_削薄處指示說明_(3)36"/>
      <sheetName val="_削薄處指示說明_(4)36"/>
      <sheetName val="_削薄處指示說明_(5)36"/>
      <sheetName val="劃線印刷指示說明_(2)36"/>
      <sheetName val="劃線印刷指示說明_(3)36"/>
      <sheetName val="折邊指示說明_36"/>
      <sheetName val="針車流程_(2)36"/>
      <sheetName val="針車流程_(3)36"/>
      <sheetName val="針車流程_(4)36"/>
      <sheetName val="針車流程_(5)36"/>
      <sheetName val="針車流程_(6)36"/>
      <sheetName val="_鞋面印刷作業流程36"/>
      <sheetName val="_鞋面高週波作業流程_(2)36"/>
      <sheetName val="__鞋墊作業流程36"/>
      <sheetName val="Cover_313845-102((259_)_(2)36"/>
      <sheetName val="Index_(1)36"/>
      <sheetName val="Logo_Specification_(2)36"/>
      <sheetName val="Screen_Printing_(4)36"/>
      <sheetName val="Upper_HF_Welding_Process(5)36"/>
      <sheetName val="Index_(3)36"/>
      <sheetName val="Bottom_Component_Process_Spec36"/>
      <sheetName val="Stock_Fitting_Process_(4)36"/>
      <sheetName val="Stock_Fitting_Process_(5)36"/>
      <sheetName val="Stockfit_BPFC_(2)36"/>
      <sheetName val="Assembling_Process_(3)36"/>
      <sheetName val="Assembly_BPFC_(2)36"/>
      <sheetName val="Sockliner_Sublimation_Process36"/>
      <sheetName val="Cutting_D)e_(1)36"/>
      <sheetName val="Cutting_D)e_(2)36"/>
      <sheetName val="Cutting_D)e_(3)36"/>
      <sheetName val="Stitching_Instructio_s_(3)36"/>
      <sheetName val="output_per_jam36"/>
      <sheetName val="data_Productivity36"/>
      <sheetName val="MLT_36"/>
      <sheetName val="daily_BEP36"/>
      <sheetName val="178049A_XLS36"/>
      <sheetName val="LB_CUTTING_KUROBE36"/>
      <sheetName val="Cutting(3)_3_1736"/>
      <sheetName val="Cutting(5)_3_1336"/>
      <sheetName val="Cutting(6)3_1736"/>
      <sheetName val="Molding_Piece_Schedule36"/>
      <sheetName val="Perf_Specification_(1)36"/>
      <sheetName val="Perf_Specification_(2)36"/>
      <sheetName val="Skiving_Instruction_(3)36"/>
      <sheetName val="Skiving_Instruction_(4)36"/>
      <sheetName val="Skiving_Instruction_(5)36"/>
      <sheetName val="Tapering_Instructions_3_1336"/>
      <sheetName val="Marking_Location_(3)36"/>
      <sheetName val="Triming_edge_Instructions36"/>
      <sheetName val="Reinforcement_Placement_(1)36"/>
      <sheetName val="Reinforcement_Placement_(2)36"/>
      <sheetName val="Reinforcement_Placement_(2)2_46"/>
      <sheetName val="Reinforcement_Placement_(3)36"/>
      <sheetName val="Computer_Stitching_Schedule36"/>
      <sheetName val="Stitching_Overview_Sketch36"/>
      <sheetName val="Stitching_Instructions_(5)36"/>
      <sheetName val="Stitching_Instructions_(6)36"/>
      <sheetName val="Stitching_Instructions_(6)_3_46"/>
      <sheetName val="Stitching_Instructions_(7)36"/>
      <sheetName val="Upper_Injected_Compon_Pro__(136"/>
      <sheetName val="Upper_Injected_Compon_Pro__(236"/>
      <sheetName val="Upper_HF__Printing_Welding(1)36"/>
      <sheetName val="Upper_HF_Printing_Welding(2)36"/>
      <sheetName val="Upper_HF_Welding_Process_(3)36"/>
      <sheetName val="Upper_HF_Welding_Process_(4)36"/>
      <sheetName val="Upper_HF_Printing_Welding_(5)36"/>
      <sheetName val="Upper_HF_Welding_Process_(6)36"/>
      <sheetName val="CMP_PHYLON_CSS_CONFIRMATION36"/>
      <sheetName val="Phylon_Midsole_Spec_36"/>
      <sheetName val="Stock_Fitting_Process(3)36"/>
      <sheetName val="Stock_Fitting_Process_(6)36"/>
      <sheetName val="Stock_Fitting_Process_(7)36"/>
      <sheetName val="Upper_Weight_Control36"/>
      <sheetName val="Blank_Form36"/>
      <sheetName val="Raw_Data_Sheet36"/>
      <sheetName val="SPRAY_(A_MX_PLUS)9"/>
      <sheetName val="BOLD_SISTER-STRONG_SISTER_-TO10"/>
      <sheetName val="SHOX_NAVINA_,_SHOX_REVEAL9"/>
      <sheetName val="MODEL_SHOX_TURBO_OZ_(PS+TD)9"/>
      <sheetName val="Spray_Tower_Machine8"/>
      <sheetName val="Sheet1_(2)8"/>
      <sheetName val="LOB_Auto_CS_908"/>
      <sheetName val="LB_(80)8"/>
      <sheetName val="TABLE_OF_CONTENTS8"/>
      <sheetName val="Dispenser_Ruang_Classic8"/>
      <sheetName val="Stock_Fitting_@_x005f_x001b__x005f_x000c__8"/>
      <sheetName val="SPM_(Cutting&amp;Pre)8"/>
      <sheetName val="Stock_Fitting_@_x005f_x001b__x005f_x000c_8"/>
      <sheetName val="5_수정데이터통합8"/>
      <sheetName val="SHOX_REMID_II8"/>
      <sheetName val="PU_8"/>
      <sheetName val="3_I-Prefit_Stitching8"/>
      <sheetName val="assmb_110"/>
      <sheetName val="assmb_210"/>
      <sheetName val="assmb_310"/>
      <sheetName val="assmb_410"/>
      <sheetName val="assmb_510"/>
      <sheetName val="assmb_610"/>
      <sheetName val="assmb_710"/>
      <sheetName val="Cutting_Dies_8"/>
      <sheetName val="Culture_of_Empowerment8"/>
      <sheetName val="A_TERRA8"/>
      <sheetName val="Cover_(2)8"/>
      <sheetName val="_Cutting(1)_8"/>
      <sheetName val="_Cutting__(2)8"/>
      <sheetName val="_Cutting__(3)8"/>
      <sheetName val="_Cutting__(4)8"/>
      <sheetName val="_Cutting__(5)8"/>
      <sheetName val="Reinf_Placement_(2)8"/>
      <sheetName val="Skiving_Instructions_(2)8"/>
      <sheetName val="Skiving_Instruction38"/>
      <sheetName val="Pre-Buffing_(2)8"/>
      <sheetName val="Tongue_Label8"/>
      <sheetName val="Stitching_Instructions(1)8"/>
      <sheetName val="Stitching_Instructions(2)8"/>
      <sheetName val="Stitching_Instructions(3)8"/>
      <sheetName val="Stitching_Instructions(4)8"/>
      <sheetName val="Stitching_Instructions(5)8"/>
      <sheetName val="Stitching_Instructions(6)8"/>
      <sheetName val="H_F__Welding_Proc8"/>
      <sheetName val="TPU_CLEANING&amp;SCREEN_PRINT_8"/>
      <sheetName val="Stitching_Instruction__(2)8"/>
      <sheetName val="Skiving_Instructions_8"/>
      <sheetName val="Key_Manufacturing_Details_(1)8"/>
      <sheetName val="월별_부하운영_계획__(3)8"/>
      <sheetName val="Upper_Measureme8"/>
      <sheetName val="Stitching_(G-Flux)8"/>
      <sheetName val="Stitching_(GD-Runner)8"/>
      <sheetName val="FA-HO11_Feb_20108"/>
      <sheetName val="Form_PDCA_Single_Project_-_IA8"/>
      <sheetName val="2_대외공문8"/>
      <sheetName val="Material_name8"/>
      <sheetName val="Mold_Efficiency_Form8"/>
      <sheetName val="Cover_37"/>
      <sheetName val="Sheet1_37"/>
      <sheetName val="Index_37"/>
      <sheetName val="Spec1_37"/>
      <sheetName val="Spec__74"/>
      <sheetName val="Spec__75"/>
      <sheetName val="Spec_38"/>
      <sheetName val="Spec_637"/>
      <sheetName val="Spec7_37"/>
      <sheetName val="Spec8_37"/>
      <sheetName val="cutting___37"/>
      <sheetName val="Punch_Specification__37"/>
      <sheetName val="Logo_Specification37"/>
      <sheetName val="Strap_Specification37"/>
      <sheetName val="Part_&amp;_Group_Specification37"/>
      <sheetName val="Reinf_Placement37"/>
      <sheetName val="Skiving_instructions37"/>
      <sheetName val="Marking_locations37"/>
      <sheetName val="Folding_Locations37"/>
      <sheetName val="Stitching_Over_View37"/>
      <sheetName val="stitching_instructions_37"/>
      <sheetName val="Computer_stitched37"/>
      <sheetName val="Upper_Molded_Component_Spec__37"/>
      <sheetName val="Upper_Molded_Component_Proc__37"/>
      <sheetName val="Upper_Measurement_Spec37"/>
      <sheetName val="PFC_Revice37"/>
      <sheetName val="Cutting_Die_(1)37"/>
      <sheetName val="Cutting_Die_(2)37"/>
      <sheetName val="Cutting_Die_(3)37"/>
      <sheetName val="Perf_Specification37"/>
      <sheetName val="Marking_Location37"/>
      <sheetName val="Marking_Locations_(2)37"/>
      <sheetName val="Skiving_Instruction_(2)37"/>
      <sheetName val="Spliting_37"/>
      <sheetName val="Reinf__Placement_(1)37"/>
      <sheetName val="Reinf__Placement_(2)37"/>
      <sheetName val="Stitching_Instructions_(1)37"/>
      <sheetName val="Stitching_Instructions_(2)37"/>
      <sheetName val="Stitching_Instructions_(3)37"/>
      <sheetName val="Computer_Stitching_37"/>
      <sheetName val="Upper_Molded_Component_Spec_37"/>
      <sheetName val="PHYLON_CSS37"/>
      <sheetName val="PHYLON_CSS_SCHEDULES37"/>
      <sheetName val="PHYLON_CSS_CONFIRMATION37"/>
      <sheetName val="Outsole_Color_37"/>
      <sheetName val="Outsole_Preform_Specification64"/>
      <sheetName val="Outsole_Pressing_Process37"/>
      <sheetName val="Outsole_Degreasing_Process_37"/>
      <sheetName val="Stock_Fiting_UV-Light_Proce_37"/>
      <sheetName val="Stock_Fiting_Process_37"/>
      <sheetName val="IY_06_0737"/>
      <sheetName val="Assembly_UV-Light_Process__37"/>
      <sheetName val="Assembly_Process_6,7_37"/>
      <sheetName val="Assembly_Process_6,737"/>
      <sheetName val="IY08_09_1037"/>
      <sheetName val="Assembly_Process_8,9,10_37"/>
      <sheetName val="Assembly_Process_8,9,10_(2_)37"/>
      <sheetName val="Back_Part_Moulding_(Soccer_TP37"/>
      <sheetName val="Ecosole_Instructions_37"/>
      <sheetName val="Sockliner_Instructions37"/>
      <sheetName val="Sock_Liner_Spec_37"/>
      <sheetName val="_(6,7)37"/>
      <sheetName val="Skiving_Instruction_(1)37"/>
      <sheetName val="Spliting_Instructions37"/>
      <sheetName val="Tapering_Instructions37"/>
      <sheetName val="Marking_Location_(1)37"/>
      <sheetName val="Marking_Location_(2)37"/>
      <sheetName val="Trim_&amp;_Edge-painting37"/>
      <sheetName val="Reinforcement_Placement37"/>
      <sheetName val="Folding_Location37"/>
      <sheetName val="Pre-Buffing_Specification37"/>
      <sheetName val="Stitching_Instructions_(4)37"/>
      <sheetName val="Upper_Laser_Process-_Spec_37"/>
      <sheetName val="Upper_Laser_Process-Spec_(2)_37"/>
      <sheetName val="Upper_Laser_Process-Spec__(3)37"/>
      <sheetName val="Sockliner__Process37"/>
      <sheetName val="Outsole_Color_Schedule37"/>
      <sheetName val="Outsole_Preform_Specification65"/>
      <sheetName val="Outsole_Pressing_Process_37"/>
      <sheetName val="PU_CSS_CONFIRMATION37"/>
      <sheetName val="PU_CSS_Schedules37"/>
      <sheetName val="PU_Midsole_Spec_I37"/>
      <sheetName val="Stock_Fitting_Process_(8)37"/>
      <sheetName val="Stock_Fitting_Process_37"/>
      <sheetName val="Stock_Fitting_Process37"/>
      <sheetName val="Stock_Fitting_Process_(2)37"/>
      <sheetName val="Stock_Fitting_Process_(3)37"/>
      <sheetName val="Stockfit_BPFC37"/>
      <sheetName val="Assembling_Process37"/>
      <sheetName val="Assembling_Process_(2)37"/>
      <sheetName val="Assembly_BPFC37"/>
      <sheetName val="Production_Checklist37"/>
      <sheetName val="Sockliner_Specification37"/>
      <sheetName val="Upper_Measurement_Spec_37"/>
      <sheetName val="索引_(1)37"/>
      <sheetName val="沖孔規格說明_(2)37"/>
      <sheetName val="_削薄處指示說明37"/>
      <sheetName val="_削薄處指示說明_(2)37"/>
      <sheetName val="_削薄處指示說明_(3)37"/>
      <sheetName val="_削薄處指示說明_(4)37"/>
      <sheetName val="_削薄處指示說明_(5)37"/>
      <sheetName val="劃線印刷指示說明_(2)37"/>
      <sheetName val="劃線印刷指示說明_(3)37"/>
      <sheetName val="折邊指示說明_37"/>
      <sheetName val="針車流程_(2)37"/>
      <sheetName val="針車流程_(3)37"/>
      <sheetName val="針車流程_(4)37"/>
      <sheetName val="針車流程_(5)37"/>
      <sheetName val="針車流程_(6)37"/>
      <sheetName val="_鞋面印刷作業流程37"/>
      <sheetName val="_鞋面高週波作業流程_(2)37"/>
      <sheetName val="__鞋墊作業流程37"/>
      <sheetName val="Cover_313845-102((259_)_(2)37"/>
      <sheetName val="Index_(1)37"/>
      <sheetName val="Logo_Specification_(2)37"/>
      <sheetName val="Screen_Printing_(4)37"/>
      <sheetName val="Upper_HF_Welding_Process(5)37"/>
      <sheetName val="Index_(3)37"/>
      <sheetName val="Bottom_Component_Process_Spec37"/>
      <sheetName val="Stock_Fitting_Process_(4)37"/>
      <sheetName val="Stock_Fitting_Process_(5)37"/>
      <sheetName val="Stockfit_BPFC_(2)37"/>
      <sheetName val="Assembling_Process_(3)37"/>
      <sheetName val="Assembly_BPFC_(2)37"/>
      <sheetName val="Sockliner_Sublimation_Process37"/>
      <sheetName val="Cutting_D)e_(1)37"/>
      <sheetName val="Cutting_D)e_(2)37"/>
      <sheetName val="Cutting_D)e_(3)37"/>
      <sheetName val="Stitching_Instructio_s_(3)37"/>
      <sheetName val="output_per_jam37"/>
      <sheetName val="data_Productivity37"/>
      <sheetName val="MLT_37"/>
      <sheetName val="daily_BEP37"/>
      <sheetName val="178049A_XLS37"/>
      <sheetName val="LB_CUTTING_KUROBE37"/>
      <sheetName val="Cutting(3)_3_1737"/>
      <sheetName val="Cutting(5)_3_1337"/>
      <sheetName val="Cutting(6)3_1737"/>
      <sheetName val="Molding_Piece_Schedule37"/>
      <sheetName val="Perf_Specification_(1)37"/>
      <sheetName val="Perf_Specification_(2)37"/>
      <sheetName val="Skiving_Instruction_(3)37"/>
      <sheetName val="Skiving_Instruction_(4)37"/>
      <sheetName val="Skiving_Instruction_(5)37"/>
      <sheetName val="Tapering_Instructions_3_1337"/>
      <sheetName val="Marking_Location_(3)37"/>
      <sheetName val="Triming_edge_Instructions37"/>
      <sheetName val="Reinforcement_Placement_(1)37"/>
      <sheetName val="Reinforcement_Placement_(2)37"/>
      <sheetName val="Reinforcement_Placement_(2)2_47"/>
      <sheetName val="Reinforcement_Placement_(3)37"/>
      <sheetName val="Computer_Stitching_Schedule37"/>
      <sheetName val="Stitching_Overview_Sketch37"/>
      <sheetName val="Stitching_Instructions_(5)37"/>
      <sheetName val="Stitching_Instructions_(6)37"/>
      <sheetName val="Stitching_Instructions_(6)_3_47"/>
      <sheetName val="Stitching_Instructions_(7)37"/>
      <sheetName val="Upper_Injected_Compon_Pro__(137"/>
      <sheetName val="Upper_Injected_Compon_Pro__(237"/>
      <sheetName val="Upper_HF__Printing_Welding(1)37"/>
      <sheetName val="Upper_HF_Printing_Welding(2)37"/>
      <sheetName val="Upper_HF_Welding_Process_(3)37"/>
      <sheetName val="Upper_HF_Welding_Process_(4)37"/>
      <sheetName val="Upper_HF_Printing_Welding_(5)37"/>
      <sheetName val="Upper_HF_Welding_Process_(6)37"/>
      <sheetName val="CMP_PHYLON_CSS_CONFIRMATION37"/>
      <sheetName val="Phylon_Midsole_Spec_37"/>
      <sheetName val="Stock_Fitting_Process(3)37"/>
      <sheetName val="Stock_Fitting_Process_(6)37"/>
      <sheetName val="Stock_Fitting_Process_(7)37"/>
      <sheetName val="Upper_Weight_Control37"/>
      <sheetName val="Blank_Form37"/>
      <sheetName val="Raw_Data_Sheet37"/>
      <sheetName val="SPRAY_(A_MX_PLUS)10"/>
      <sheetName val="BOLD_SISTER-STRONG_SISTER_-TO11"/>
      <sheetName val="SHOX_NAVINA_,_SHOX_REVEAL10"/>
      <sheetName val="MODEL_SHOX_TURBO_OZ_(PS+TD)10"/>
      <sheetName val="Spray_Tower_Machine9"/>
      <sheetName val="Sheet1_(2)9"/>
      <sheetName val="LOB_Auto_CS_909"/>
      <sheetName val="LB_(80)9"/>
      <sheetName val="TABLE_OF_CONTENTS9"/>
      <sheetName val="Dispenser_Ruang_Classic9"/>
      <sheetName val="Stock_Fitting_@_x005f_x001b__x005f_x000c__9"/>
      <sheetName val="SPM_(Cutting&amp;Pre)9"/>
      <sheetName val="Stock_Fitting_@_x005f_x001b__x005f_x000c_9"/>
      <sheetName val="5_수정데이터통합9"/>
      <sheetName val="SHOX_REMID_II9"/>
      <sheetName val="PU_9"/>
      <sheetName val="3_I-Prefit_Stitching9"/>
      <sheetName val="assmb_111"/>
      <sheetName val="assmb_211"/>
      <sheetName val="assmb_311"/>
      <sheetName val="assmb_411"/>
      <sheetName val="assmb_511"/>
      <sheetName val="assmb_611"/>
      <sheetName val="assmb_711"/>
      <sheetName val="Cutting_Dies_9"/>
      <sheetName val="Culture_of_Empowerment9"/>
      <sheetName val="A_TERRA9"/>
      <sheetName val="Cover_(2)9"/>
      <sheetName val="_Cutting(1)_9"/>
      <sheetName val="_Cutting__(2)9"/>
      <sheetName val="_Cutting__(3)9"/>
      <sheetName val="_Cutting__(4)9"/>
      <sheetName val="_Cutting__(5)9"/>
      <sheetName val="Reinf_Placement_(2)9"/>
      <sheetName val="Skiving_Instructions_(2)9"/>
      <sheetName val="Skiving_Instruction39"/>
      <sheetName val="Pre-Buffing_(2)9"/>
      <sheetName val="Tongue_Label9"/>
      <sheetName val="Stitching_Instructions(1)9"/>
      <sheetName val="Stitching_Instructions(2)9"/>
      <sheetName val="Stitching_Instructions(3)9"/>
      <sheetName val="Stitching_Instructions(4)9"/>
      <sheetName val="Stitching_Instructions(5)9"/>
      <sheetName val="Stitching_Instructions(6)9"/>
      <sheetName val="H_F__Welding_Proc9"/>
      <sheetName val="TPU_CLEANING&amp;SCREEN_PRINT_9"/>
      <sheetName val="Stitching_Instruction__(2)9"/>
      <sheetName val="Skiving_Instructions_9"/>
      <sheetName val="Key_Manufacturing_Details_(1)9"/>
      <sheetName val="월별_부하운영_계획__(3)9"/>
      <sheetName val="Upper_Measureme9"/>
      <sheetName val="Stitching_(G-Flux)9"/>
      <sheetName val="Stitching_(GD-Runner)9"/>
      <sheetName val="FA-HO11_Feb_20109"/>
      <sheetName val="Form_PDCA_Single_Project_-_IA9"/>
      <sheetName val="2_대외공문9"/>
      <sheetName val="Material_name9"/>
      <sheetName val="Mold_Efficiency_Form9"/>
      <sheetName val="Cover_38"/>
      <sheetName val="Sheet1_38"/>
      <sheetName val="Index_38"/>
      <sheetName val="Spec1_38"/>
      <sheetName val="Spec__76"/>
      <sheetName val="Spec__77"/>
      <sheetName val="Spec_39"/>
      <sheetName val="Spec_638"/>
      <sheetName val="Spec7_38"/>
      <sheetName val="Spec8_38"/>
      <sheetName val="cutting___38"/>
      <sheetName val="Punch_Specification__38"/>
      <sheetName val="Logo_Specification38"/>
      <sheetName val="Strap_Specification38"/>
      <sheetName val="Part_&amp;_Group_Specification38"/>
      <sheetName val="Reinf_Placement38"/>
      <sheetName val="Skiving_instructions38"/>
      <sheetName val="Marking_locations38"/>
      <sheetName val="Folding_Locations38"/>
      <sheetName val="Stitching_Over_View38"/>
      <sheetName val="stitching_instructions_38"/>
      <sheetName val="Computer_stitched38"/>
      <sheetName val="Upper_Molded_Component_Spec__38"/>
      <sheetName val="Upper_Molded_Component_Proc__38"/>
      <sheetName val="Upper_Measurement_Spec38"/>
      <sheetName val="PFC_Revice38"/>
      <sheetName val="Cutting_Die_(1)38"/>
      <sheetName val="Cutting_Die_(2)38"/>
      <sheetName val="Cutting_Die_(3)38"/>
      <sheetName val="Perf_Specification38"/>
      <sheetName val="Marking_Location38"/>
      <sheetName val="Marking_Locations_(2)38"/>
      <sheetName val="Skiving_Instruction_(2)38"/>
      <sheetName val="Spliting_38"/>
      <sheetName val="Reinf__Placement_(1)38"/>
      <sheetName val="Reinf__Placement_(2)38"/>
      <sheetName val="Stitching_Instructions_(1)38"/>
      <sheetName val="Stitching_Instructions_(2)38"/>
      <sheetName val="Stitching_Instructions_(3)38"/>
      <sheetName val="Computer_Stitching_38"/>
      <sheetName val="Upper_Molded_Component_Spec_38"/>
      <sheetName val="PHYLON_CSS38"/>
      <sheetName val="PHYLON_CSS_SCHEDULES38"/>
      <sheetName val="PHYLON_CSS_CONFIRMATION38"/>
      <sheetName val="Outsole_Color_38"/>
      <sheetName val="Outsole_Preform_Specification66"/>
      <sheetName val="Outsole_Pressing_Process38"/>
      <sheetName val="Outsole_Degreasing_Process_38"/>
      <sheetName val="Stock_Fiting_UV-Light_Proce_38"/>
      <sheetName val="Stock_Fiting_Process_38"/>
      <sheetName val="IY_06_0738"/>
      <sheetName val="Assembly_UV-Light_Process__38"/>
      <sheetName val="Assembly_Process_6,7_38"/>
      <sheetName val="Assembly_Process_6,738"/>
      <sheetName val="IY08_09_1038"/>
      <sheetName val="Assembly_Process_8,9,10_38"/>
      <sheetName val="Assembly_Process_8,9,10_(2_)38"/>
      <sheetName val="Back_Part_Moulding_(Soccer_TP38"/>
      <sheetName val="Ecosole_Instructions_38"/>
      <sheetName val="Sockliner_Instructions38"/>
      <sheetName val="Sock_Liner_Spec_38"/>
      <sheetName val="_(6,7)38"/>
      <sheetName val="Skiving_Instruction_(1)38"/>
      <sheetName val="Spliting_Instructions38"/>
      <sheetName val="Tapering_Instructions38"/>
      <sheetName val="Marking_Location_(1)38"/>
      <sheetName val="Marking_Location_(2)38"/>
      <sheetName val="Trim_&amp;_Edge-painting38"/>
      <sheetName val="Reinforcement_Placement38"/>
      <sheetName val="Folding_Location38"/>
      <sheetName val="Pre-Buffing_Specification38"/>
      <sheetName val="Stitching_Instructions_(4)38"/>
      <sheetName val="Upper_Laser_Process-_Spec_38"/>
      <sheetName val="Upper_Laser_Process-Spec_(2)_38"/>
      <sheetName val="Upper_Laser_Process-Spec__(3)38"/>
      <sheetName val="Sockliner__Process38"/>
      <sheetName val="Outsole_Color_Schedule38"/>
      <sheetName val="Outsole_Preform_Specification67"/>
      <sheetName val="Outsole_Pressing_Process_38"/>
      <sheetName val="PU_CSS_CONFIRMATION38"/>
      <sheetName val="PU_CSS_Schedules38"/>
      <sheetName val="PU_Midsole_Spec_I38"/>
      <sheetName val="Stock_Fitting_Process_(8)38"/>
      <sheetName val="Stock_Fitting_Process_38"/>
      <sheetName val="Stock_Fitting_Process38"/>
      <sheetName val="Stock_Fitting_Process_(2)38"/>
      <sheetName val="Stock_Fitting_Process_(3)38"/>
      <sheetName val="Stockfit_BPFC38"/>
      <sheetName val="Assembling_Process38"/>
      <sheetName val="Assembling_Process_(2)38"/>
      <sheetName val="Assembly_BPFC38"/>
      <sheetName val="Production_Checklist38"/>
      <sheetName val="Sockliner_Specification38"/>
      <sheetName val="Upper_Measurement_Spec_38"/>
      <sheetName val="索引_(1)38"/>
      <sheetName val="沖孔規格說明_(2)38"/>
      <sheetName val="_削薄處指示說明38"/>
      <sheetName val="_削薄處指示說明_(2)38"/>
      <sheetName val="_削薄處指示說明_(3)38"/>
      <sheetName val="_削薄處指示說明_(4)38"/>
      <sheetName val="_削薄處指示說明_(5)38"/>
      <sheetName val="劃線印刷指示說明_(2)38"/>
      <sheetName val="劃線印刷指示說明_(3)38"/>
      <sheetName val="折邊指示說明_38"/>
      <sheetName val="針車流程_(2)38"/>
      <sheetName val="針車流程_(3)38"/>
      <sheetName val="針車流程_(4)38"/>
      <sheetName val="針車流程_(5)38"/>
      <sheetName val="針車流程_(6)38"/>
      <sheetName val="_鞋面印刷作業流程38"/>
      <sheetName val="_鞋面高週波作業流程_(2)38"/>
      <sheetName val="__鞋墊作業流程38"/>
      <sheetName val="Cover_313845-102((259_)_(2)38"/>
      <sheetName val="Index_(1)38"/>
      <sheetName val="Logo_Specification_(2)38"/>
      <sheetName val="Screen_Printing_(4)38"/>
      <sheetName val="Upper_HF_Welding_Process(5)38"/>
      <sheetName val="Index_(3)38"/>
      <sheetName val="Bottom_Component_Process_Spec38"/>
      <sheetName val="Stock_Fitting_Process_(4)38"/>
      <sheetName val="Stock_Fitting_Process_(5)38"/>
      <sheetName val="Stockfit_BPFC_(2)38"/>
      <sheetName val="Assembling_Process_(3)38"/>
      <sheetName val="Assembly_BPFC_(2)38"/>
      <sheetName val="Sockliner_Sublimation_Process38"/>
      <sheetName val="Cutting_D)e_(1)38"/>
      <sheetName val="Cutting_D)e_(2)38"/>
      <sheetName val="Cutting_D)e_(3)38"/>
      <sheetName val="Stitching_Instructio_s_(3)38"/>
      <sheetName val="output_per_jam38"/>
      <sheetName val="data_Productivity38"/>
      <sheetName val="MLT_38"/>
      <sheetName val="daily_BEP38"/>
      <sheetName val="178049A_XLS38"/>
      <sheetName val="LB_CUTTING_KUROBE38"/>
      <sheetName val="Cutting(3)_3_1738"/>
      <sheetName val="Cutting(5)_3_1338"/>
      <sheetName val="Cutting(6)3_1738"/>
      <sheetName val="Molding_Piece_Schedule38"/>
      <sheetName val="Perf_Specification_(1)38"/>
      <sheetName val="Perf_Specification_(2)38"/>
      <sheetName val="Skiving_Instruction_(3)38"/>
      <sheetName val="Skiving_Instruction_(4)38"/>
      <sheetName val="Skiving_Instruction_(5)38"/>
      <sheetName val="Tapering_Instructions_3_1338"/>
      <sheetName val="Marking_Location_(3)38"/>
      <sheetName val="Triming_edge_Instructions38"/>
      <sheetName val="Reinforcement_Placement_(1)38"/>
      <sheetName val="Reinforcement_Placement_(2)38"/>
      <sheetName val="Reinforcement_Placement_(2)2_48"/>
      <sheetName val="Reinforcement_Placement_(3)38"/>
      <sheetName val="Computer_Stitching_Schedule38"/>
      <sheetName val="Stitching_Overview_Sketch38"/>
      <sheetName val="Stitching_Instructions_(5)38"/>
      <sheetName val="Stitching_Instructions_(6)38"/>
      <sheetName val="Stitching_Instructions_(6)_3_48"/>
      <sheetName val="Stitching_Instructions_(7)38"/>
      <sheetName val="Upper_Injected_Compon_Pro__(138"/>
      <sheetName val="Upper_Injected_Compon_Pro__(238"/>
      <sheetName val="Upper_HF__Printing_Welding(1)38"/>
      <sheetName val="Upper_HF_Printing_Welding(2)38"/>
      <sheetName val="Upper_HF_Welding_Process_(3)38"/>
      <sheetName val="Upper_HF_Welding_Process_(4)38"/>
      <sheetName val="Upper_HF_Printing_Welding_(5)38"/>
      <sheetName val="Upper_HF_Welding_Process_(6)38"/>
      <sheetName val="CMP_PHYLON_CSS_CONFIRMATION38"/>
      <sheetName val="Phylon_Midsole_Spec_38"/>
      <sheetName val="Stock_Fitting_Process(3)38"/>
      <sheetName val="Stock_Fitting_Process_(6)38"/>
      <sheetName val="Stock_Fitting_Process_(7)38"/>
      <sheetName val="Upper_Weight_Control38"/>
      <sheetName val="Blank_Form38"/>
      <sheetName val="Raw_Data_Sheet38"/>
      <sheetName val="SPRAY_(A_MX_PLUS)11"/>
      <sheetName val="BOLD_SISTER-STRONG_SISTER_-TO12"/>
      <sheetName val="SHOX_NAVINA_,_SHOX_REVEAL11"/>
      <sheetName val="MODEL_SHOX_TURBO_OZ_(PS+TD)11"/>
      <sheetName val="Spray_Tower_Machine10"/>
      <sheetName val="Sheet1_(2)10"/>
      <sheetName val="LOB_Auto_CS_9010"/>
      <sheetName val="LB_(80)10"/>
      <sheetName val="TABLE_OF_CONTENTS10"/>
      <sheetName val="Dispenser_Ruang_Classic10"/>
      <sheetName val="Stock_Fitting_@_x005f_x001b__x005f_x000c_10"/>
      <sheetName val="SPM_(Cutting&amp;Pre)10"/>
      <sheetName val="Stock_Fitting_@_x005f_x001b__x005f_x000c_11"/>
      <sheetName val="5_수정데이터통합10"/>
      <sheetName val="SHOX_REMID_II10"/>
      <sheetName val="PU_10"/>
      <sheetName val="3_I-Prefit_Stitching10"/>
      <sheetName val="assmb_112"/>
      <sheetName val="assmb_212"/>
      <sheetName val="assmb_312"/>
      <sheetName val="assmb_412"/>
      <sheetName val="assmb_512"/>
      <sheetName val="assmb_612"/>
      <sheetName val="assmb_712"/>
      <sheetName val="Cutting_Dies_10"/>
      <sheetName val="Culture_of_Empowerment10"/>
      <sheetName val="A_TERRA10"/>
      <sheetName val="Cover_(2)10"/>
      <sheetName val="_Cutting(1)_10"/>
      <sheetName val="_Cutting__(2)10"/>
      <sheetName val="_Cutting__(3)10"/>
      <sheetName val="_Cutting__(4)10"/>
      <sheetName val="_Cutting__(5)10"/>
      <sheetName val="Reinf_Placement_(2)10"/>
      <sheetName val="Skiving_Instructions_(2)10"/>
      <sheetName val="Skiving_Instruction310"/>
      <sheetName val="Pre-Buffing_(2)10"/>
      <sheetName val="Tongue_Label10"/>
      <sheetName val="Stitching_Instructions(1)10"/>
      <sheetName val="Stitching_Instructions(2)10"/>
      <sheetName val="Stitching_Instructions(3)10"/>
      <sheetName val="Stitching_Instructions(4)10"/>
      <sheetName val="Stitching_Instructions(5)10"/>
      <sheetName val="Stitching_Instructions(6)10"/>
      <sheetName val="H_F__Welding_Proc10"/>
      <sheetName val="TPU_CLEANING&amp;SCREEN_PRINT_10"/>
      <sheetName val="Stitching_Instruction__(2)10"/>
      <sheetName val="Skiving_Instructions_10"/>
      <sheetName val="Key_Manufacturing_Details_(1)10"/>
      <sheetName val="월별_부하운영_계획__(3)10"/>
      <sheetName val="Upper_Measureme10"/>
      <sheetName val="Stitching_(G-Flux)10"/>
      <sheetName val="Stitching_(GD-Runner)10"/>
      <sheetName val="FA-HO11_Feb_201010"/>
      <sheetName val="Form_PDCA_Single_Project_-_IA10"/>
      <sheetName val="2_대외공문10"/>
      <sheetName val="Material_name10"/>
      <sheetName val="Mold_Efficiency_Form10"/>
      <sheetName val="Cover_39"/>
      <sheetName val="Sheet1_39"/>
      <sheetName val="Index_39"/>
      <sheetName val="Spec1_39"/>
      <sheetName val="Spec__78"/>
      <sheetName val="Spec__79"/>
      <sheetName val="Spec_40"/>
      <sheetName val="Spec_639"/>
      <sheetName val="Spec7_39"/>
      <sheetName val="Spec8_39"/>
      <sheetName val="cutting___39"/>
      <sheetName val="Punch_Specification__39"/>
      <sheetName val="Logo_Specification39"/>
      <sheetName val="Strap_Specification39"/>
      <sheetName val="Part_&amp;_Group_Specification39"/>
      <sheetName val="Reinf_Placement39"/>
      <sheetName val="Skiving_instructions39"/>
      <sheetName val="Marking_locations39"/>
      <sheetName val="Folding_Locations39"/>
      <sheetName val="Stitching_Over_View39"/>
      <sheetName val="stitching_instructions_39"/>
      <sheetName val="Computer_stitched39"/>
      <sheetName val="Upper_Molded_Component_Spec__39"/>
      <sheetName val="Upper_Molded_Component_Proc__39"/>
      <sheetName val="Upper_Measurement_Spec39"/>
      <sheetName val="PFC_Revice39"/>
      <sheetName val="Cutting_Die_(1)39"/>
      <sheetName val="Cutting_Die_(2)39"/>
      <sheetName val="Cutting_Die_(3)39"/>
      <sheetName val="Perf_Specification39"/>
      <sheetName val="Marking_Location39"/>
      <sheetName val="Marking_Locations_(2)39"/>
      <sheetName val="Skiving_Instruction_(2)39"/>
      <sheetName val="Spliting_39"/>
      <sheetName val="Reinf__Placement_(1)39"/>
      <sheetName val="Reinf__Placement_(2)39"/>
      <sheetName val="Stitching_Instructions_(1)39"/>
      <sheetName val="Stitching_Instructions_(2)39"/>
      <sheetName val="Stitching_Instructions_(3)39"/>
      <sheetName val="Computer_Stitching_39"/>
      <sheetName val="Upper_Molded_Component_Spec_39"/>
      <sheetName val="PHYLON_CSS39"/>
      <sheetName val="PHYLON_CSS_SCHEDULES39"/>
      <sheetName val="PHYLON_CSS_CONFIRMATION39"/>
      <sheetName val="Outsole_Color_39"/>
      <sheetName val="Outsole_Preform_Specification68"/>
      <sheetName val="Outsole_Pressing_Process39"/>
      <sheetName val="Outsole_Degreasing_Process_39"/>
      <sheetName val="Stock_Fiting_UV-Light_Proce_39"/>
      <sheetName val="Stock_Fiting_Process_39"/>
      <sheetName val="IY_06_0739"/>
      <sheetName val="Assembly_UV-Light_Process__39"/>
      <sheetName val="Assembly_Process_6,7_39"/>
      <sheetName val="Assembly_Process_6,739"/>
      <sheetName val="IY08_09_1039"/>
      <sheetName val="Assembly_Process_8,9,10_39"/>
      <sheetName val="Assembly_Process_8,9,10_(2_)39"/>
      <sheetName val="Back_Part_Moulding_(Soccer_TP39"/>
      <sheetName val="Ecosole_Instructions_39"/>
      <sheetName val="Sockliner_Instructions39"/>
      <sheetName val="Sock_Liner_Spec_39"/>
      <sheetName val="_(6,7)39"/>
      <sheetName val="Skiving_Instruction_(1)39"/>
      <sheetName val="Spliting_Instructions39"/>
      <sheetName val="Tapering_Instructions39"/>
      <sheetName val="Marking_Location_(1)39"/>
      <sheetName val="Marking_Location_(2)39"/>
      <sheetName val="Trim_&amp;_Edge-painting39"/>
      <sheetName val="Reinforcement_Placement39"/>
      <sheetName val="Folding_Location39"/>
      <sheetName val="Pre-Buffing_Specification39"/>
      <sheetName val="Stitching_Instructions_(4)39"/>
      <sheetName val="Upper_Laser_Process-_Spec_39"/>
      <sheetName val="Upper_Laser_Process-Spec_(2)_39"/>
      <sheetName val="Upper_Laser_Process-Spec__(3)39"/>
      <sheetName val="Sockliner__Process39"/>
      <sheetName val="Outsole_Color_Schedule39"/>
      <sheetName val="Outsole_Preform_Specification69"/>
      <sheetName val="Outsole_Pressing_Process_39"/>
      <sheetName val="PU_CSS_CONFIRMATION39"/>
      <sheetName val="PU_CSS_Schedules39"/>
      <sheetName val="PU_Midsole_Spec_I39"/>
      <sheetName val="Stock_Fitting_Process_(8)39"/>
      <sheetName val="Stock_Fitting_Process_39"/>
      <sheetName val="Stock_Fitting_Process39"/>
      <sheetName val="Stock_Fitting_Process_(2)39"/>
      <sheetName val="Stock_Fitting_Process_(3)39"/>
      <sheetName val="Stockfit_BPFC39"/>
      <sheetName val="Assembling_Process39"/>
      <sheetName val="Assembling_Process_(2)39"/>
      <sheetName val="Assembly_BPFC39"/>
      <sheetName val="Production_Checklist39"/>
      <sheetName val="Sockliner_Specification39"/>
      <sheetName val="Upper_Measurement_Spec_39"/>
      <sheetName val="索引_(1)39"/>
      <sheetName val="沖孔規格說明_(2)39"/>
      <sheetName val="_削薄處指示說明39"/>
      <sheetName val="_削薄處指示說明_(2)39"/>
      <sheetName val="_削薄處指示說明_(3)39"/>
      <sheetName val="_削薄處指示說明_(4)39"/>
      <sheetName val="_削薄處指示說明_(5)39"/>
      <sheetName val="劃線印刷指示說明_(2)39"/>
      <sheetName val="劃線印刷指示說明_(3)39"/>
      <sheetName val="折邊指示說明_39"/>
      <sheetName val="針車流程_(2)39"/>
      <sheetName val="針車流程_(3)39"/>
      <sheetName val="針車流程_(4)39"/>
      <sheetName val="針車流程_(5)39"/>
      <sheetName val="針車流程_(6)39"/>
      <sheetName val="_鞋面印刷作業流程39"/>
      <sheetName val="_鞋面高週波作業流程_(2)39"/>
      <sheetName val="__鞋墊作業流程39"/>
      <sheetName val="Cover_313845-102((259_)_(2)39"/>
      <sheetName val="Index_(1)39"/>
      <sheetName val="Logo_Specification_(2)39"/>
      <sheetName val="Screen_Printing_(4)39"/>
      <sheetName val="Upper_HF_Welding_Process(5)39"/>
      <sheetName val="Index_(3)39"/>
      <sheetName val="Bottom_Component_Process_Spec39"/>
      <sheetName val="Stock_Fitting_Process_(4)39"/>
      <sheetName val="Stock_Fitting_Process_(5)39"/>
      <sheetName val="Stockfit_BPFC_(2)39"/>
      <sheetName val="Assembling_Process_(3)39"/>
      <sheetName val="Assembly_BPFC_(2)39"/>
      <sheetName val="Sockliner_Sublimation_Process39"/>
      <sheetName val="Cutting_D)e_(1)39"/>
      <sheetName val="Cutting_D)e_(2)39"/>
      <sheetName val="Cutting_D)e_(3)39"/>
      <sheetName val="Stitching_Instructio_s_(3)39"/>
      <sheetName val="output_per_jam39"/>
      <sheetName val="data_Productivity39"/>
      <sheetName val="MLT_39"/>
      <sheetName val="daily_BEP39"/>
      <sheetName val="178049A_XLS39"/>
      <sheetName val="LB_CUTTING_KUROBE39"/>
      <sheetName val="Cutting(3)_3_1739"/>
      <sheetName val="Cutting(5)_3_1339"/>
      <sheetName val="Cutting(6)3_1739"/>
      <sheetName val="Molding_Piece_Schedule39"/>
      <sheetName val="Perf_Specification_(1)39"/>
      <sheetName val="Perf_Specification_(2)39"/>
      <sheetName val="Skiving_Instruction_(3)39"/>
      <sheetName val="Skiving_Instruction_(4)39"/>
      <sheetName val="Skiving_Instruction_(5)39"/>
      <sheetName val="Tapering_Instructions_3_1339"/>
      <sheetName val="Marking_Location_(3)39"/>
      <sheetName val="Triming_edge_Instructions39"/>
      <sheetName val="Reinforcement_Placement_(1)39"/>
      <sheetName val="Reinforcement_Placement_(2)39"/>
      <sheetName val="Reinforcement_Placement_(2)2_49"/>
      <sheetName val="Reinforcement_Placement_(3)39"/>
      <sheetName val="Computer_Stitching_Schedule39"/>
      <sheetName val="Stitching_Overview_Sketch39"/>
      <sheetName val="Stitching_Instructions_(5)39"/>
      <sheetName val="Stitching_Instructions_(6)39"/>
      <sheetName val="Stitching_Instructions_(6)_3_49"/>
      <sheetName val="Stitching_Instructions_(7)39"/>
      <sheetName val="Upper_Injected_Compon_Pro__(139"/>
      <sheetName val="Upper_Injected_Compon_Pro__(239"/>
      <sheetName val="Upper_HF__Printing_Welding(1)39"/>
      <sheetName val="Upper_HF_Printing_Welding(2)39"/>
      <sheetName val="Upper_HF_Welding_Process_(3)39"/>
      <sheetName val="Upper_HF_Welding_Process_(4)39"/>
      <sheetName val="Upper_HF_Printing_Welding_(5)39"/>
      <sheetName val="Upper_HF_Welding_Process_(6)39"/>
      <sheetName val="CMP_PHYLON_CSS_CONFIRMATION39"/>
      <sheetName val="Phylon_Midsole_Spec_39"/>
      <sheetName val="Stock_Fitting_Process(3)39"/>
      <sheetName val="Stock_Fitting_Process_(6)39"/>
      <sheetName val="Stock_Fitting_Process_(7)39"/>
      <sheetName val="Upper_Weight_Control39"/>
      <sheetName val="Blank_Form39"/>
      <sheetName val="Raw_Data_Sheet39"/>
      <sheetName val="SPRAY_(A_MX_PLUS)12"/>
      <sheetName val="BOLD_SISTER-STRONG_SISTER_-TO13"/>
      <sheetName val="SHOX_NAVINA_,_SHOX_REVEAL12"/>
      <sheetName val="MODEL_SHOX_TURBO_OZ_(PS+TD)12"/>
      <sheetName val="Spray_Tower_Machine11"/>
      <sheetName val="Sheet1_(2)11"/>
      <sheetName val="LOB_Auto_CS_9011"/>
      <sheetName val="LB_(80)11"/>
      <sheetName val="TABLE_OF_CONTENTS11"/>
      <sheetName val="Dispenser_Ruang_Classic11"/>
      <sheetName val="Stock_Fitting_@_x005f_x001b__x005f_x000c_12"/>
      <sheetName val="SPM_(Cutting&amp;Pre)11"/>
      <sheetName val="Stock_Fitting_@_x005f_x001b__x005f_x000c_13"/>
      <sheetName val="5_수정데이터통합11"/>
      <sheetName val="SHOX_REMID_II11"/>
      <sheetName val="PU_11"/>
      <sheetName val="3_I-Prefit_Stitching11"/>
      <sheetName val="assmb_113"/>
      <sheetName val="assmb_213"/>
      <sheetName val="assmb_313"/>
      <sheetName val="assmb_413"/>
      <sheetName val="assmb_513"/>
      <sheetName val="assmb_613"/>
      <sheetName val="assmb_713"/>
      <sheetName val="Cutting_Dies_11"/>
      <sheetName val="Culture_of_Empowerment11"/>
      <sheetName val="A_TERRA11"/>
      <sheetName val="Cover_(2)11"/>
      <sheetName val="_Cutting(1)_11"/>
      <sheetName val="_Cutting__(2)11"/>
      <sheetName val="_Cutting__(3)11"/>
      <sheetName val="_Cutting__(4)11"/>
      <sheetName val="_Cutting__(5)11"/>
      <sheetName val="Reinf_Placement_(2)11"/>
      <sheetName val="Skiving_Instructions_(2)11"/>
      <sheetName val="Skiving_Instruction311"/>
      <sheetName val="Pre-Buffing_(2)11"/>
      <sheetName val="Tongue_Label11"/>
      <sheetName val="Stitching_Instructions(1)11"/>
      <sheetName val="Stitching_Instructions(2)11"/>
      <sheetName val="Stitching_Instructions(3)11"/>
      <sheetName val="Stitching_Instructions(4)11"/>
      <sheetName val="Stitching_Instructions(5)11"/>
      <sheetName val="Stitching_Instructions(6)11"/>
      <sheetName val="H_F__Welding_Proc11"/>
      <sheetName val="TPU_CLEANING&amp;SCREEN_PRINT_11"/>
      <sheetName val="Stitching_Instruction__(2)11"/>
      <sheetName val="Skiving_Instructions_11"/>
      <sheetName val="Key_Manufacturing_Details_(1)11"/>
      <sheetName val="월별_부하운영_계획__(3)11"/>
      <sheetName val="Upper_Measureme11"/>
      <sheetName val="Stitching_(G-Flux)11"/>
      <sheetName val="Stitching_(GD-Runner)11"/>
      <sheetName val="FA-HO11_Feb_201011"/>
      <sheetName val="Form_PDCA_Single_Project_-_IA11"/>
      <sheetName val="2_대외공문11"/>
      <sheetName val="Material_name11"/>
      <sheetName val="Mold_Efficiency_Form11"/>
      <sheetName val="Cover_40"/>
      <sheetName val="Sheet1_40"/>
      <sheetName val="Index_40"/>
      <sheetName val="Spec1_40"/>
      <sheetName val="Spec__80"/>
      <sheetName val="Spec__81"/>
      <sheetName val="Spec_41"/>
      <sheetName val="Spec_640"/>
      <sheetName val="Spec7_40"/>
      <sheetName val="Spec8_40"/>
      <sheetName val="cutting___40"/>
      <sheetName val="Punch_Specification__40"/>
      <sheetName val="Logo_Specification40"/>
      <sheetName val="Strap_Specification40"/>
      <sheetName val="Part_&amp;_Group_Specification40"/>
      <sheetName val="Reinf_Placement40"/>
      <sheetName val="Skiving_instructions40"/>
      <sheetName val="Marking_locations40"/>
      <sheetName val="Folding_Locations40"/>
      <sheetName val="Stitching_Over_View40"/>
      <sheetName val="stitching_instructions_40"/>
      <sheetName val="Computer_stitched40"/>
      <sheetName val="Upper_Molded_Component_Spec__40"/>
      <sheetName val="Upper_Molded_Component_Proc__40"/>
      <sheetName val="Upper_Measurement_Spec40"/>
      <sheetName val="PFC_Revice40"/>
      <sheetName val="Cutting_Die_(1)40"/>
      <sheetName val="Cutting_Die_(2)40"/>
      <sheetName val="Cutting_Die_(3)40"/>
      <sheetName val="Perf_Specification40"/>
      <sheetName val="Marking_Location40"/>
      <sheetName val="Marking_Locations_(2)40"/>
      <sheetName val="Skiving_Instruction_(2)40"/>
      <sheetName val="Spliting_40"/>
      <sheetName val="Reinf__Placement_(1)40"/>
      <sheetName val="Reinf__Placement_(2)40"/>
      <sheetName val="Stitching_Instructions_(1)40"/>
      <sheetName val="Stitching_Instructions_(2)40"/>
      <sheetName val="Stitching_Instructions_(3)40"/>
      <sheetName val="Computer_Stitching_40"/>
      <sheetName val="Upper_Molded_Component_Spec_40"/>
      <sheetName val="PHYLON_CSS40"/>
      <sheetName val="PHYLON_CSS_SCHEDULES40"/>
      <sheetName val="PHYLON_CSS_CONFIRMATION40"/>
      <sheetName val="Outsole_Color_40"/>
      <sheetName val="Outsole_Preform_Specification70"/>
      <sheetName val="Outsole_Pressing_Process40"/>
      <sheetName val="Outsole_Degreasing_Process_40"/>
      <sheetName val="Stock_Fiting_UV-Light_Proce_40"/>
      <sheetName val="Stock_Fiting_Process_40"/>
      <sheetName val="IY_06_0740"/>
      <sheetName val="Assembly_UV-Light_Process__40"/>
      <sheetName val="Assembly_Process_6,7_40"/>
      <sheetName val="Assembly_Process_6,740"/>
      <sheetName val="IY08_09_1040"/>
      <sheetName val="Assembly_Process_8,9,10_40"/>
      <sheetName val="Assembly_Process_8,9,10_(2_)40"/>
      <sheetName val="Back_Part_Moulding_(Soccer_TP40"/>
      <sheetName val="Ecosole_Instructions_40"/>
      <sheetName val="Sockliner_Instructions40"/>
      <sheetName val="Sock_Liner_Spec_40"/>
      <sheetName val="_(6,7)40"/>
      <sheetName val="Skiving_Instruction_(1)40"/>
      <sheetName val="Spliting_Instructions40"/>
      <sheetName val="Tapering_Instructions40"/>
      <sheetName val="Marking_Location_(1)40"/>
      <sheetName val="Marking_Location_(2)40"/>
      <sheetName val="Trim_&amp;_Edge-painting40"/>
      <sheetName val="Reinforcement_Placement40"/>
      <sheetName val="Folding_Location40"/>
      <sheetName val="Pre-Buffing_Specification40"/>
      <sheetName val="Stitching_Instructions_(4)40"/>
      <sheetName val="Upper_Laser_Process-_Spec_40"/>
      <sheetName val="Upper_Laser_Process-Spec_(2)_40"/>
      <sheetName val="Upper_Laser_Process-Spec__(3)40"/>
      <sheetName val="Sockliner__Process40"/>
      <sheetName val="Outsole_Color_Schedule40"/>
      <sheetName val="Outsole_Preform_Specification71"/>
      <sheetName val="Outsole_Pressing_Process_40"/>
      <sheetName val="PU_CSS_CONFIRMATION40"/>
      <sheetName val="PU_CSS_Schedules40"/>
      <sheetName val="PU_Midsole_Spec_I40"/>
      <sheetName val="Stock_Fitting_Process_(8)40"/>
      <sheetName val="Stock_Fitting_Process_40"/>
      <sheetName val="Stock_Fitting_Process40"/>
      <sheetName val="Stock_Fitting_Process_(2)40"/>
      <sheetName val="Stock_Fitting_Process_(3)40"/>
      <sheetName val="Stockfit_BPFC40"/>
      <sheetName val="Assembling_Process40"/>
      <sheetName val="Assembling_Process_(2)40"/>
      <sheetName val="Assembly_BPFC40"/>
      <sheetName val="Production_Checklist40"/>
      <sheetName val="Sockliner_Specification40"/>
      <sheetName val="Upper_Measurement_Spec_40"/>
      <sheetName val="索引_(1)40"/>
      <sheetName val="沖孔規格說明_(2)40"/>
      <sheetName val="_削薄處指示說明40"/>
      <sheetName val="_削薄處指示說明_(2)40"/>
      <sheetName val="_削薄處指示說明_(3)40"/>
      <sheetName val="_削薄處指示說明_(4)40"/>
      <sheetName val="_削薄處指示說明_(5)40"/>
      <sheetName val="劃線印刷指示說明_(2)40"/>
      <sheetName val="劃線印刷指示說明_(3)40"/>
      <sheetName val="折邊指示說明_40"/>
      <sheetName val="針車流程_(2)40"/>
      <sheetName val="針車流程_(3)40"/>
      <sheetName val="針車流程_(4)40"/>
      <sheetName val="針車流程_(5)40"/>
      <sheetName val="針車流程_(6)40"/>
      <sheetName val="_鞋面印刷作業流程40"/>
      <sheetName val="_鞋面高週波作業流程_(2)40"/>
      <sheetName val="__鞋墊作業流程40"/>
      <sheetName val="Cover_313845-102((259_)_(2)40"/>
      <sheetName val="Index_(1)40"/>
      <sheetName val="Logo_Specification_(2)40"/>
      <sheetName val="Screen_Printing_(4)40"/>
      <sheetName val="Upper_HF_Welding_Process(5)40"/>
      <sheetName val="Index_(3)40"/>
      <sheetName val="Bottom_Component_Process_Spec40"/>
      <sheetName val="Stock_Fitting_Process_(4)40"/>
      <sheetName val="Stock_Fitting_Process_(5)40"/>
      <sheetName val="Stockfit_BPFC_(2)40"/>
      <sheetName val="Assembling_Process_(3)40"/>
      <sheetName val="Assembly_BPFC_(2)40"/>
      <sheetName val="Sockliner_Sublimation_Process40"/>
      <sheetName val="Cutting_D)e_(1)40"/>
      <sheetName val="Cutting_D)e_(2)40"/>
      <sheetName val="Cutting_D)e_(3)40"/>
      <sheetName val="Stitching_Instructio_s_(3)40"/>
      <sheetName val="output_per_jam40"/>
      <sheetName val="data_Productivity40"/>
      <sheetName val="MLT_40"/>
      <sheetName val="daily_BEP40"/>
      <sheetName val="178049A_XLS40"/>
      <sheetName val="LB_CUTTING_KUROBE40"/>
      <sheetName val="Cutting(3)_3_1740"/>
      <sheetName val="Cutting(5)_3_1340"/>
      <sheetName val="Cutting(6)3_1740"/>
      <sheetName val="Molding_Piece_Schedule40"/>
      <sheetName val="Perf_Specification_(1)40"/>
      <sheetName val="Perf_Specification_(2)40"/>
      <sheetName val="Skiving_Instruction_(3)40"/>
      <sheetName val="Skiving_Instruction_(4)40"/>
      <sheetName val="Skiving_Instruction_(5)40"/>
      <sheetName val="Tapering_Instructions_3_1340"/>
      <sheetName val="Marking_Location_(3)40"/>
      <sheetName val="Triming_edge_Instructions40"/>
      <sheetName val="Reinforcement_Placement_(1)40"/>
      <sheetName val="Reinforcement_Placement_(2)40"/>
      <sheetName val="Reinforcement_Placement_(2)2_50"/>
      <sheetName val="Reinforcement_Placement_(3)40"/>
      <sheetName val="Computer_Stitching_Schedule40"/>
      <sheetName val="Stitching_Overview_Sketch40"/>
      <sheetName val="Stitching_Instructions_(5)40"/>
      <sheetName val="Stitching_Instructions_(6)40"/>
      <sheetName val="Stitching_Instructions_(6)_3_50"/>
      <sheetName val="Stitching_Instructions_(7)40"/>
      <sheetName val="Upper_Injected_Compon_Pro__(140"/>
      <sheetName val="Upper_Injected_Compon_Pro__(240"/>
      <sheetName val="Upper_HF__Printing_Welding(1)40"/>
      <sheetName val="Upper_HF_Printing_Welding(2)40"/>
      <sheetName val="Upper_HF_Welding_Process_(3)40"/>
      <sheetName val="Upper_HF_Welding_Process_(4)40"/>
      <sheetName val="Upper_HF_Printing_Welding_(5)40"/>
      <sheetName val="Upper_HF_Welding_Process_(6)40"/>
      <sheetName val="CMP_PHYLON_CSS_CONFIRMATION40"/>
      <sheetName val="Phylon_Midsole_Spec_40"/>
      <sheetName val="Stock_Fitting_Process(3)40"/>
      <sheetName val="Stock_Fitting_Process_(6)40"/>
      <sheetName val="Stock_Fitting_Process_(7)40"/>
      <sheetName val="Upper_Weight_Control40"/>
      <sheetName val="Blank_Form40"/>
      <sheetName val="Raw_Data_Sheet40"/>
      <sheetName val="SPRAY_(A_MX_PLUS)13"/>
      <sheetName val="BOLD_SISTER-STRONG_SISTER_-TO14"/>
      <sheetName val="SHOX_NAVINA_,_SHOX_REVEAL13"/>
      <sheetName val="MODEL_SHOX_TURBO_OZ_(PS+TD)13"/>
      <sheetName val="Spray_Tower_Machine12"/>
      <sheetName val="Sheet1_(2)12"/>
      <sheetName val="LOB_Auto_CS_9012"/>
      <sheetName val="LB_(80)12"/>
      <sheetName val="TABLE_OF_CONTENTS12"/>
      <sheetName val="Dispenser_Ruang_Classic12"/>
      <sheetName val="Stock_Fitting_@_x005f_x001b__x005f_x000c_14"/>
      <sheetName val="SPM_(Cutting&amp;Pre)12"/>
      <sheetName val="Stock_Fitting_@_x005f_x001b__x005f_x000c_15"/>
      <sheetName val="5_수정데이터통합12"/>
      <sheetName val="SHOX_REMID_II12"/>
      <sheetName val="PU_12"/>
      <sheetName val="3_I-Prefit_Stitching12"/>
      <sheetName val="assmb_114"/>
      <sheetName val="assmb_214"/>
      <sheetName val="assmb_314"/>
      <sheetName val="assmb_414"/>
      <sheetName val="assmb_514"/>
      <sheetName val="assmb_614"/>
      <sheetName val="assmb_714"/>
      <sheetName val="Cutting_Dies_12"/>
      <sheetName val="Culture_of_Empowerment12"/>
      <sheetName val="A_TERRA12"/>
      <sheetName val="Cover_(2)12"/>
      <sheetName val="_Cutting(1)_12"/>
      <sheetName val="_Cutting__(2)12"/>
      <sheetName val="_Cutting__(3)12"/>
      <sheetName val="_Cutting__(4)12"/>
      <sheetName val="_Cutting__(5)12"/>
      <sheetName val="Reinf_Placement_(2)12"/>
      <sheetName val="Skiving_Instructions_(2)12"/>
      <sheetName val="Skiving_Instruction312"/>
      <sheetName val="Pre-Buffing_(2)12"/>
      <sheetName val="Tongue_Label12"/>
      <sheetName val="Stitching_Instructions(1)12"/>
      <sheetName val="Stitching_Instructions(2)12"/>
      <sheetName val="Stitching_Instructions(3)12"/>
      <sheetName val="Stitching_Instructions(4)12"/>
      <sheetName val="Stitching_Instructions(5)12"/>
      <sheetName val="Stitching_Instructions(6)12"/>
      <sheetName val="H_F__Welding_Proc12"/>
      <sheetName val="TPU_CLEANING&amp;SCREEN_PRINT_12"/>
      <sheetName val="Stitching_Instruction__(2)12"/>
      <sheetName val="Skiving_Instructions_12"/>
      <sheetName val="Key_Manufacturing_Details_(1)12"/>
      <sheetName val="월별_부하운영_계획__(3)12"/>
      <sheetName val="Upper_Measureme12"/>
      <sheetName val="Stitching_(G-Flux)12"/>
      <sheetName val="Stitching_(GD-Runner)12"/>
      <sheetName val="FA-HO11_Feb_201012"/>
      <sheetName val="Form_PDCA_Single_Project_-_IA12"/>
      <sheetName val="2_대외공문12"/>
      <sheetName val="Material_name12"/>
      <sheetName val="Mold_Efficiency_Form12"/>
      <sheetName val="Cover_42"/>
      <sheetName val="Sheet1_42"/>
      <sheetName val="Index_42"/>
      <sheetName val="Spec1_42"/>
      <sheetName val="Spec__84"/>
      <sheetName val="Spec__85"/>
      <sheetName val="Spec_43"/>
      <sheetName val="Spec_642"/>
      <sheetName val="Spec7_42"/>
      <sheetName val="Spec8_42"/>
      <sheetName val="cutting___42"/>
      <sheetName val="Punch_Specification__42"/>
      <sheetName val="Logo_Specification42"/>
      <sheetName val="Strap_Specification42"/>
      <sheetName val="Part_&amp;_Group_Specification42"/>
      <sheetName val="Reinf_Placement42"/>
      <sheetName val="Skiving_instructions42"/>
      <sheetName val="Marking_locations42"/>
      <sheetName val="Folding_Locations42"/>
      <sheetName val="Stitching_Over_View42"/>
      <sheetName val="stitching_instructions_42"/>
      <sheetName val="Computer_stitched42"/>
      <sheetName val="Upper_Molded_Component_Spec__42"/>
      <sheetName val="Upper_Molded_Component_Proc__42"/>
      <sheetName val="Upper_Measurement_Spec42"/>
      <sheetName val="PFC_Revice42"/>
      <sheetName val="Cutting_Die_(1)42"/>
      <sheetName val="Cutting_Die_(2)42"/>
      <sheetName val="Cutting_Die_(3)42"/>
      <sheetName val="Perf_Specification42"/>
      <sheetName val="Marking_Location42"/>
      <sheetName val="Marking_Locations_(2)42"/>
      <sheetName val="Skiving_Instruction_(2)42"/>
      <sheetName val="Spliting_42"/>
      <sheetName val="Reinf__Placement_(1)42"/>
      <sheetName val="Reinf__Placement_(2)42"/>
      <sheetName val="Stitching_Instructions_(1)42"/>
      <sheetName val="Stitching_Instructions_(2)42"/>
      <sheetName val="Stitching_Instructions_(3)42"/>
      <sheetName val="Computer_Stitching_42"/>
      <sheetName val="Upper_Molded_Component_Spec_42"/>
      <sheetName val="PHYLON_CSS42"/>
      <sheetName val="PHYLON_CSS_SCHEDULES42"/>
      <sheetName val="PHYLON_CSS_CONFIRMATION42"/>
      <sheetName val="Outsole_Color_42"/>
      <sheetName val="Outsole_Preform_Specification74"/>
      <sheetName val="Outsole_Pressing_Process42"/>
      <sheetName val="Outsole_Degreasing_Process_42"/>
      <sheetName val="Stock_Fiting_UV-Light_Proce_42"/>
      <sheetName val="Stock_Fiting_Process_42"/>
      <sheetName val="IY_06_0742"/>
      <sheetName val="Assembly_UV-Light_Process__42"/>
      <sheetName val="Assembly_Process_6,7_42"/>
      <sheetName val="Assembly_Process_6,742"/>
      <sheetName val="IY08_09_1042"/>
      <sheetName val="Assembly_Process_8,9,10_42"/>
      <sheetName val="Assembly_Process_8,9,10_(2_)42"/>
      <sheetName val="Back_Part_Moulding_(Soccer_TP42"/>
      <sheetName val="Ecosole_Instructions_42"/>
      <sheetName val="Sockliner_Instructions42"/>
      <sheetName val="Sock_Liner_Spec_42"/>
      <sheetName val="_(6,7)42"/>
      <sheetName val="Skiving_Instruction_(1)42"/>
      <sheetName val="Spliting_Instructions42"/>
      <sheetName val="Tapering_Instructions42"/>
      <sheetName val="Marking_Location_(1)42"/>
      <sheetName val="Marking_Location_(2)42"/>
      <sheetName val="Trim_&amp;_Edge-painting42"/>
      <sheetName val="Reinforcement_Placement42"/>
      <sheetName val="Folding_Location42"/>
      <sheetName val="Pre-Buffing_Specification42"/>
      <sheetName val="Stitching_Instructions_(4)42"/>
      <sheetName val="Upper_Laser_Process-_Spec_42"/>
      <sheetName val="Upper_Laser_Process-Spec_(2)_42"/>
      <sheetName val="Upper_Laser_Process-Spec__(3)42"/>
      <sheetName val="Sockliner__Process42"/>
      <sheetName val="Outsole_Color_Schedule42"/>
      <sheetName val="Outsole_Preform_Specification75"/>
      <sheetName val="Outsole_Pressing_Process_42"/>
      <sheetName val="PU_CSS_CONFIRMATION42"/>
      <sheetName val="PU_CSS_Schedules42"/>
      <sheetName val="PU_Midsole_Spec_I42"/>
      <sheetName val="Stock_Fitting_Process_(8)42"/>
      <sheetName val="Stock_Fitting_Process_42"/>
      <sheetName val="Stock_Fitting_Process42"/>
      <sheetName val="Stock_Fitting_Process_(2)42"/>
      <sheetName val="Stock_Fitting_Process_(3)42"/>
      <sheetName val="Stockfit_BPFC42"/>
      <sheetName val="Assembling_Process42"/>
      <sheetName val="Assembling_Process_(2)42"/>
      <sheetName val="Assembly_BPFC42"/>
      <sheetName val="Production_Checklist42"/>
      <sheetName val="Sockliner_Specification42"/>
      <sheetName val="Upper_Measurement_Spec_42"/>
      <sheetName val="索引_(1)42"/>
      <sheetName val="沖孔規格說明_(2)42"/>
      <sheetName val="_削薄處指示說明42"/>
      <sheetName val="_削薄處指示說明_(2)42"/>
      <sheetName val="_削薄處指示說明_(3)42"/>
      <sheetName val="_削薄處指示說明_(4)42"/>
      <sheetName val="_削薄處指示說明_(5)42"/>
      <sheetName val="劃線印刷指示說明_(2)42"/>
      <sheetName val="劃線印刷指示說明_(3)42"/>
      <sheetName val="折邊指示說明_42"/>
      <sheetName val="針車流程_(2)42"/>
      <sheetName val="針車流程_(3)42"/>
      <sheetName val="針車流程_(4)42"/>
      <sheetName val="針車流程_(5)42"/>
      <sheetName val="針車流程_(6)42"/>
      <sheetName val="_鞋面印刷作業流程42"/>
      <sheetName val="_鞋面高週波作業流程_(2)42"/>
      <sheetName val="__鞋墊作業流程42"/>
      <sheetName val="Cover_313845-102((259_)_(2)42"/>
      <sheetName val="Index_(1)42"/>
      <sheetName val="Logo_Specification_(2)42"/>
      <sheetName val="Screen_Printing_(4)42"/>
      <sheetName val="Upper_HF_Welding_Process(5)42"/>
      <sheetName val="Index_(3)42"/>
      <sheetName val="Bottom_Component_Process_Spec42"/>
      <sheetName val="Stock_Fitting_Process_(4)42"/>
      <sheetName val="Stock_Fitting_Process_(5)42"/>
      <sheetName val="Stockfit_BPFC_(2)42"/>
      <sheetName val="Assembling_Process_(3)42"/>
      <sheetName val="Assembly_BPFC_(2)42"/>
      <sheetName val="Sockliner_Sublimation_Process42"/>
      <sheetName val="Cutting_D)e_(1)42"/>
      <sheetName val="Cutting_D)e_(2)42"/>
      <sheetName val="Cutting_D)e_(3)42"/>
      <sheetName val="Stitching_Instructio_s_(3)42"/>
      <sheetName val="output_per_jam42"/>
      <sheetName val="data_Productivity42"/>
      <sheetName val="MLT_42"/>
      <sheetName val="daily_BEP42"/>
      <sheetName val="178049A_XLS42"/>
      <sheetName val="LB_CUTTING_KUROBE42"/>
      <sheetName val="Cutting(3)_3_1742"/>
      <sheetName val="Cutting(5)_3_1342"/>
      <sheetName val="Cutting(6)3_1742"/>
      <sheetName val="Molding_Piece_Schedule42"/>
      <sheetName val="Perf_Specification_(1)42"/>
      <sheetName val="Perf_Specification_(2)42"/>
      <sheetName val="Skiving_Instruction_(3)42"/>
      <sheetName val="Skiving_Instruction_(4)42"/>
      <sheetName val="Skiving_Instruction_(5)42"/>
      <sheetName val="Tapering_Instructions_3_1342"/>
      <sheetName val="Marking_Location_(3)42"/>
      <sheetName val="Triming_edge_Instructions42"/>
      <sheetName val="Reinforcement_Placement_(1)42"/>
      <sheetName val="Reinforcement_Placement_(2)42"/>
      <sheetName val="Reinforcement_Placement_(2)2_52"/>
      <sheetName val="Reinforcement_Placement_(3)42"/>
      <sheetName val="Computer_Stitching_Schedule42"/>
      <sheetName val="Stitching_Overview_Sketch42"/>
      <sheetName val="Stitching_Instructions_(5)42"/>
      <sheetName val="Stitching_Instructions_(6)42"/>
      <sheetName val="Stitching_Instructions_(6)_3_52"/>
      <sheetName val="Stitching_Instructions_(7)42"/>
      <sheetName val="Upper_Injected_Compon_Pro__(142"/>
      <sheetName val="Upper_Injected_Compon_Pro__(242"/>
      <sheetName val="Upper_HF__Printing_Welding(1)42"/>
      <sheetName val="Upper_HF_Printing_Welding(2)42"/>
      <sheetName val="Upper_HF_Welding_Process_(3)42"/>
      <sheetName val="Upper_HF_Welding_Process_(4)42"/>
      <sheetName val="Upper_HF_Printing_Welding_(5)42"/>
      <sheetName val="Upper_HF_Welding_Process_(6)42"/>
      <sheetName val="CMP_PHYLON_CSS_CONFIRMATION42"/>
      <sheetName val="Phylon_Midsole_Spec_42"/>
      <sheetName val="Stock_Fitting_Process(3)42"/>
      <sheetName val="Stock_Fitting_Process_(6)42"/>
      <sheetName val="Stock_Fitting_Process_(7)42"/>
      <sheetName val="Upper_Weight_Control42"/>
      <sheetName val="Blank_Form42"/>
      <sheetName val="Raw_Data_Sheet42"/>
      <sheetName val="SPRAY_(A_MX_PLUS)15"/>
      <sheetName val="BOLD_SISTER-STRONG_SISTER_-TO16"/>
      <sheetName val="SHOX_NAVINA_,_SHOX_REVEAL15"/>
      <sheetName val="MODEL_SHOX_TURBO_OZ_(PS+TD)15"/>
      <sheetName val="Spray_Tower_Machine14"/>
      <sheetName val="Sheet1_(2)14"/>
      <sheetName val="LOB_Auto_CS_9014"/>
      <sheetName val="LB_(80)14"/>
      <sheetName val="TABLE_OF_CONTENTS14"/>
      <sheetName val="Dispenser_Ruang_Classic14"/>
      <sheetName val="Stock_Fitting_@_x005f_x001b__x005f_x000c_18"/>
      <sheetName val="SPM_(Cutting&amp;Pre)14"/>
      <sheetName val="Stock_Fitting_@_x005f_x001b__x005f_x000c_19"/>
      <sheetName val="5_수정데이터통합14"/>
      <sheetName val="SHOX_REMID_II14"/>
      <sheetName val="PU_14"/>
      <sheetName val="3_I-Prefit_Stitching14"/>
      <sheetName val="assmb_116"/>
      <sheetName val="assmb_216"/>
      <sheetName val="assmb_316"/>
      <sheetName val="assmb_416"/>
      <sheetName val="assmb_516"/>
      <sheetName val="assmb_616"/>
      <sheetName val="assmb_716"/>
      <sheetName val="Cutting_Dies_14"/>
      <sheetName val="Culture_of_Empowerment14"/>
      <sheetName val="A_TERRA14"/>
      <sheetName val="Cover_(2)14"/>
      <sheetName val="_Cutting(1)_14"/>
      <sheetName val="_Cutting__(2)14"/>
      <sheetName val="_Cutting__(3)14"/>
      <sheetName val="_Cutting__(4)14"/>
      <sheetName val="_Cutting__(5)14"/>
      <sheetName val="Reinf_Placement_(2)14"/>
      <sheetName val="Skiving_Instructions_(2)14"/>
      <sheetName val="Skiving_Instruction314"/>
      <sheetName val="Pre-Buffing_(2)14"/>
      <sheetName val="Tongue_Label14"/>
      <sheetName val="Stitching_Instructions(1)14"/>
      <sheetName val="Stitching_Instructions(2)14"/>
      <sheetName val="Stitching_Instructions(3)14"/>
      <sheetName val="Stitching_Instructions(4)14"/>
      <sheetName val="Stitching_Instructions(5)14"/>
      <sheetName val="Stitching_Instructions(6)14"/>
      <sheetName val="H_F__Welding_Proc14"/>
      <sheetName val="TPU_CLEANING&amp;SCREEN_PRINT_14"/>
      <sheetName val="Stitching_Instruction__(2)14"/>
      <sheetName val="Skiving_Instructions_14"/>
      <sheetName val="Key_Manufacturing_Details_(1)14"/>
      <sheetName val="월별_부하운영_계획__(3)14"/>
      <sheetName val="Upper_Measureme14"/>
      <sheetName val="Stitching_(G-Flux)14"/>
      <sheetName val="Stitching_(GD-Runner)14"/>
      <sheetName val="FA-HO11_Feb_201014"/>
      <sheetName val="Form_PDCA_Single_Project_-_IA14"/>
      <sheetName val="2_대외공문14"/>
      <sheetName val="Material_name14"/>
      <sheetName val="Mold_Efficiency_Form14"/>
      <sheetName val="Cover_44"/>
      <sheetName val="Sheet1_44"/>
      <sheetName val="Index_44"/>
      <sheetName val="Spec1_44"/>
      <sheetName val="Spec__88"/>
      <sheetName val="Spec__89"/>
      <sheetName val="Spec_45"/>
      <sheetName val="Spec_644"/>
      <sheetName val="Spec7_44"/>
      <sheetName val="Spec8_44"/>
      <sheetName val="cutting___44"/>
      <sheetName val="Punch_Specification__44"/>
      <sheetName val="Logo_Specification44"/>
      <sheetName val="Strap_Specification44"/>
      <sheetName val="Part_&amp;_Group_Specification44"/>
      <sheetName val="Reinf_Placement44"/>
      <sheetName val="Skiving_instructions44"/>
      <sheetName val="Marking_locations44"/>
      <sheetName val="Folding_Locations44"/>
      <sheetName val="Stitching_Over_View44"/>
      <sheetName val="stitching_instructions_44"/>
      <sheetName val="Computer_stitched44"/>
      <sheetName val="Upper_Molded_Component_Spec__44"/>
      <sheetName val="Upper_Molded_Component_Proc__44"/>
      <sheetName val="Upper_Measurement_Spec44"/>
      <sheetName val="PFC_Revice44"/>
      <sheetName val="Cutting_Die_(1)44"/>
      <sheetName val="Cutting_Die_(2)44"/>
      <sheetName val="Cutting_Die_(3)44"/>
      <sheetName val="Perf_Specification44"/>
      <sheetName val="Marking_Location44"/>
      <sheetName val="Marking_Locations_(2)44"/>
      <sheetName val="Skiving_Instruction_(2)44"/>
      <sheetName val="Spliting_44"/>
      <sheetName val="Reinf__Placement_(1)44"/>
      <sheetName val="Reinf__Placement_(2)44"/>
      <sheetName val="Stitching_Instructions_(1)44"/>
      <sheetName val="Stitching_Instructions_(2)44"/>
      <sheetName val="Stitching_Instructions_(3)44"/>
      <sheetName val="Computer_Stitching_44"/>
      <sheetName val="Upper_Molded_Component_Spec_44"/>
      <sheetName val="PHYLON_CSS44"/>
      <sheetName val="PHYLON_CSS_SCHEDULES44"/>
      <sheetName val="PHYLON_CSS_CONFIRMATION44"/>
      <sheetName val="Outsole_Color_44"/>
      <sheetName val="Outsole_Preform_Specification78"/>
      <sheetName val="Outsole_Pressing_Process44"/>
      <sheetName val="Outsole_Degreasing_Process_44"/>
      <sheetName val="Stock_Fiting_UV-Light_Proce_44"/>
      <sheetName val="Stock_Fiting_Process_44"/>
      <sheetName val="IY_06_0744"/>
      <sheetName val="Assembly_UV-Light_Process__44"/>
      <sheetName val="Assembly_Process_6,7_44"/>
      <sheetName val="Assembly_Process_6,744"/>
      <sheetName val="IY08_09_1044"/>
      <sheetName val="Assembly_Process_8,9,10_44"/>
      <sheetName val="Assembly_Process_8,9,10_(2_)44"/>
      <sheetName val="Back_Part_Moulding_(Soccer_TP44"/>
      <sheetName val="Ecosole_Instructions_44"/>
      <sheetName val="Sockliner_Instructions44"/>
      <sheetName val="Sock_Liner_Spec_44"/>
      <sheetName val="_(6,7)44"/>
      <sheetName val="Skiving_Instruction_(1)44"/>
      <sheetName val="Spliting_Instructions44"/>
      <sheetName val="Tapering_Instructions44"/>
      <sheetName val="Marking_Location_(1)44"/>
      <sheetName val="Marking_Location_(2)44"/>
      <sheetName val="Trim_&amp;_Edge-painting44"/>
      <sheetName val="Reinforcement_Placement44"/>
      <sheetName val="Folding_Location44"/>
      <sheetName val="Pre-Buffing_Specification44"/>
      <sheetName val="Stitching_Instructions_(4)44"/>
      <sheetName val="Upper_Laser_Process-_Spec_44"/>
      <sheetName val="Upper_Laser_Process-Spec_(2)_44"/>
      <sheetName val="Upper_Laser_Process-Spec__(3)44"/>
      <sheetName val="Sockliner__Process44"/>
      <sheetName val="Outsole_Color_Schedule44"/>
      <sheetName val="Outsole_Preform_Specification79"/>
      <sheetName val="Outsole_Pressing_Process_44"/>
      <sheetName val="PU_CSS_CONFIRMATION44"/>
      <sheetName val="PU_CSS_Schedules44"/>
      <sheetName val="PU_Midsole_Spec_I44"/>
      <sheetName val="Stock_Fitting_Process_(8)44"/>
      <sheetName val="Stock_Fitting_Process_44"/>
      <sheetName val="Stock_Fitting_Process44"/>
      <sheetName val="Stock_Fitting_Process_(2)44"/>
      <sheetName val="Stock_Fitting_Process_(3)44"/>
      <sheetName val="Stockfit_BPFC44"/>
      <sheetName val="Assembling_Process44"/>
      <sheetName val="Assembling_Process_(2)44"/>
      <sheetName val="Assembly_BPFC44"/>
      <sheetName val="Production_Checklist44"/>
      <sheetName val="Sockliner_Specification44"/>
      <sheetName val="Upper_Measurement_Spec_44"/>
      <sheetName val="索引_(1)44"/>
      <sheetName val="沖孔規格說明_(2)44"/>
      <sheetName val="_削薄處指示說明44"/>
      <sheetName val="_削薄處指示說明_(2)44"/>
      <sheetName val="_削薄處指示說明_(3)44"/>
      <sheetName val="_削薄處指示說明_(4)44"/>
      <sheetName val="_削薄處指示說明_(5)44"/>
      <sheetName val="劃線印刷指示說明_(2)44"/>
      <sheetName val="劃線印刷指示說明_(3)44"/>
      <sheetName val="折邊指示說明_44"/>
      <sheetName val="針車流程_(2)44"/>
      <sheetName val="針車流程_(3)44"/>
      <sheetName val="針車流程_(4)44"/>
      <sheetName val="針車流程_(5)44"/>
      <sheetName val="針車流程_(6)44"/>
      <sheetName val="_鞋面印刷作業流程44"/>
      <sheetName val="_鞋面高週波作業流程_(2)44"/>
      <sheetName val="__鞋墊作業流程44"/>
      <sheetName val="Cover_313845-102((259_)_(2)44"/>
      <sheetName val="Index_(1)44"/>
      <sheetName val="Logo_Specification_(2)44"/>
      <sheetName val="Screen_Printing_(4)44"/>
      <sheetName val="Upper_HF_Welding_Process(5)44"/>
      <sheetName val="Index_(3)44"/>
      <sheetName val="Bottom_Component_Process_Spec44"/>
      <sheetName val="Stock_Fitting_Process_(4)44"/>
      <sheetName val="Stock_Fitting_Process_(5)44"/>
      <sheetName val="Stockfit_BPFC_(2)44"/>
      <sheetName val="Assembling_Process_(3)44"/>
      <sheetName val="Assembly_BPFC_(2)44"/>
      <sheetName val="Sockliner_Sublimation_Process44"/>
      <sheetName val="Cutting_D)e_(1)44"/>
      <sheetName val="Cutting_D)e_(2)44"/>
      <sheetName val="Cutting_D)e_(3)44"/>
      <sheetName val="Stitching_Instructio_s_(3)44"/>
      <sheetName val="output_per_jam44"/>
      <sheetName val="data_Productivity44"/>
      <sheetName val="MLT_44"/>
      <sheetName val="daily_BEP44"/>
      <sheetName val="178049A_XLS44"/>
      <sheetName val="LB_CUTTING_KUROBE44"/>
      <sheetName val="Cutting(3)_3_1744"/>
      <sheetName val="Cutting(5)_3_1344"/>
      <sheetName val="Cutting(6)3_1744"/>
      <sheetName val="Molding_Piece_Schedule44"/>
      <sheetName val="Perf_Specification_(1)44"/>
      <sheetName val="Perf_Specification_(2)44"/>
      <sheetName val="Skiving_Instruction_(3)44"/>
      <sheetName val="Skiving_Instruction_(4)44"/>
      <sheetName val="Skiving_Instruction_(5)44"/>
      <sheetName val="Tapering_Instructions_3_1344"/>
      <sheetName val="Marking_Location_(3)44"/>
      <sheetName val="Triming_edge_Instructions44"/>
      <sheetName val="Reinforcement_Placement_(1)44"/>
      <sheetName val="Reinforcement_Placement_(2)44"/>
      <sheetName val="Reinforcement_Placement_(2)2_54"/>
      <sheetName val="Reinforcement_Placement_(3)44"/>
      <sheetName val="Computer_Stitching_Schedule44"/>
      <sheetName val="Stitching_Overview_Sketch44"/>
      <sheetName val="Stitching_Instructions_(5)44"/>
      <sheetName val="Stitching_Instructions_(6)44"/>
      <sheetName val="Stitching_Instructions_(6)_3_54"/>
      <sheetName val="Stitching_Instructions_(7)44"/>
      <sheetName val="Upper_Injected_Compon_Pro__(144"/>
      <sheetName val="Upper_Injected_Compon_Pro__(244"/>
      <sheetName val="Upper_HF__Printing_Welding(1)44"/>
      <sheetName val="Upper_HF_Printing_Welding(2)44"/>
      <sheetName val="Upper_HF_Welding_Process_(3)44"/>
      <sheetName val="Upper_HF_Welding_Process_(4)44"/>
      <sheetName val="Upper_HF_Printing_Welding_(5)44"/>
      <sheetName val="Upper_HF_Welding_Process_(6)44"/>
      <sheetName val="CMP_PHYLON_CSS_CONFIRMATION44"/>
      <sheetName val="Phylon_Midsole_Spec_44"/>
      <sheetName val="Stock_Fitting_Process(3)44"/>
      <sheetName val="Stock_Fitting_Process_(6)44"/>
      <sheetName val="Stock_Fitting_Process_(7)44"/>
      <sheetName val="Upper_Weight_Control44"/>
      <sheetName val="Blank_Form44"/>
      <sheetName val="Raw_Data_Sheet44"/>
      <sheetName val="SPRAY_(A_MX_PLUS)17"/>
      <sheetName val="BOLD_SISTER-STRONG_SISTER_-TO18"/>
      <sheetName val="SHOX_NAVINA_,_SHOX_REVEAL17"/>
      <sheetName val="MODEL_SHOX_TURBO_OZ_(PS+TD)17"/>
      <sheetName val="Spray_Tower_Machine16"/>
      <sheetName val="Sheet1_(2)16"/>
      <sheetName val="LOB_Auto_CS_9016"/>
      <sheetName val="LB_(80)16"/>
      <sheetName val="TABLE_OF_CONTENTS16"/>
      <sheetName val="Dispenser_Ruang_Classic16"/>
      <sheetName val="Stock_Fitting_@_x005f_x001b__x005f_x000c_22"/>
      <sheetName val="SPM_(Cutting&amp;Pre)16"/>
      <sheetName val="Stock_Fitting_@_x005f_x001b__x005f_x000c_23"/>
      <sheetName val="5_수정데이터통합16"/>
      <sheetName val="SHOX_REMID_II16"/>
      <sheetName val="PU_16"/>
      <sheetName val="3_I-Prefit_Stitching16"/>
      <sheetName val="assmb_118"/>
      <sheetName val="assmb_218"/>
      <sheetName val="assmb_318"/>
      <sheetName val="assmb_418"/>
      <sheetName val="assmb_518"/>
      <sheetName val="assmb_618"/>
      <sheetName val="assmb_718"/>
      <sheetName val="Cutting_Dies_16"/>
      <sheetName val="Culture_of_Empowerment16"/>
      <sheetName val="A_TERRA16"/>
      <sheetName val="Cover_(2)16"/>
      <sheetName val="_Cutting(1)_16"/>
      <sheetName val="_Cutting__(2)16"/>
      <sheetName val="_Cutting__(3)16"/>
      <sheetName val="_Cutting__(4)16"/>
      <sheetName val="_Cutting__(5)16"/>
      <sheetName val="Reinf_Placement_(2)16"/>
      <sheetName val="Skiving_Instructions_(2)16"/>
      <sheetName val="Skiving_Instruction316"/>
      <sheetName val="Pre-Buffing_(2)16"/>
      <sheetName val="Tongue_Label16"/>
      <sheetName val="Stitching_Instructions(1)16"/>
      <sheetName val="Stitching_Instructions(2)16"/>
      <sheetName val="Stitching_Instructions(3)16"/>
      <sheetName val="Stitching_Instructions(4)16"/>
      <sheetName val="Stitching_Instructions(5)16"/>
      <sheetName val="Stitching_Instructions(6)16"/>
      <sheetName val="H_F__Welding_Proc16"/>
      <sheetName val="TPU_CLEANING&amp;SCREEN_PRINT_16"/>
      <sheetName val="Stitching_Instruction__(2)16"/>
      <sheetName val="Skiving_Instructions_16"/>
      <sheetName val="Key_Manufacturing_Details_(1)16"/>
      <sheetName val="월별_부하운영_계획__(3)16"/>
      <sheetName val="Upper_Measureme16"/>
      <sheetName val="Stitching_(G-Flux)16"/>
      <sheetName val="Stitching_(GD-Runner)16"/>
      <sheetName val="FA-HO11_Feb_201016"/>
      <sheetName val="Form_PDCA_Single_Project_-_IA16"/>
      <sheetName val="2_대외공문16"/>
      <sheetName val="Material_name16"/>
      <sheetName val="Mold_Efficiency_Form16"/>
      <sheetName val="Cover_43"/>
      <sheetName val="Sheet1_43"/>
      <sheetName val="Index_43"/>
      <sheetName val="Spec1_43"/>
      <sheetName val="Spec__86"/>
      <sheetName val="Spec__87"/>
      <sheetName val="Spec_44"/>
      <sheetName val="Spec_643"/>
      <sheetName val="Spec7_43"/>
      <sheetName val="Spec8_43"/>
      <sheetName val="cutting___43"/>
      <sheetName val="Punch_Specification__43"/>
      <sheetName val="Logo_Specification43"/>
      <sheetName val="Strap_Specification43"/>
      <sheetName val="Part_&amp;_Group_Specification43"/>
      <sheetName val="Reinf_Placement43"/>
      <sheetName val="Skiving_instructions43"/>
      <sheetName val="Marking_locations43"/>
      <sheetName val="Folding_Locations43"/>
      <sheetName val="Stitching_Over_View43"/>
      <sheetName val="stitching_instructions_43"/>
      <sheetName val="Computer_stitched43"/>
      <sheetName val="Upper_Molded_Component_Spec__43"/>
      <sheetName val="Upper_Molded_Component_Proc__43"/>
      <sheetName val="Upper_Measurement_Spec43"/>
      <sheetName val="PFC_Revice43"/>
      <sheetName val="Cutting_Die_(1)43"/>
      <sheetName val="Cutting_Die_(2)43"/>
      <sheetName val="Cutting_Die_(3)43"/>
      <sheetName val="Perf_Specification43"/>
      <sheetName val="Marking_Location43"/>
      <sheetName val="Marking_Locations_(2)43"/>
      <sheetName val="Skiving_Instruction_(2)43"/>
      <sheetName val="Spliting_43"/>
      <sheetName val="Reinf__Placement_(1)43"/>
      <sheetName val="Reinf__Placement_(2)43"/>
      <sheetName val="Stitching_Instructions_(1)43"/>
      <sheetName val="Stitching_Instructions_(2)43"/>
      <sheetName val="Stitching_Instructions_(3)43"/>
      <sheetName val="Computer_Stitching_43"/>
      <sheetName val="Upper_Molded_Component_Spec_43"/>
      <sheetName val="PHYLON_CSS43"/>
      <sheetName val="PHYLON_CSS_SCHEDULES43"/>
      <sheetName val="PHYLON_CSS_CONFIRMATION43"/>
      <sheetName val="Outsole_Color_43"/>
      <sheetName val="Outsole_Preform_Specification76"/>
      <sheetName val="Outsole_Pressing_Process43"/>
      <sheetName val="Outsole_Degreasing_Process_43"/>
      <sheetName val="Stock_Fiting_UV-Light_Proce_43"/>
      <sheetName val="Stock_Fiting_Process_43"/>
      <sheetName val="IY_06_0743"/>
      <sheetName val="Assembly_UV-Light_Process__43"/>
      <sheetName val="Assembly_Process_6,7_43"/>
      <sheetName val="Assembly_Process_6,743"/>
      <sheetName val="IY08_09_1043"/>
      <sheetName val="Assembly_Process_8,9,10_43"/>
      <sheetName val="Assembly_Process_8,9,10_(2_)43"/>
      <sheetName val="Back_Part_Moulding_(Soccer_TP43"/>
      <sheetName val="Ecosole_Instructions_43"/>
      <sheetName val="Sockliner_Instructions43"/>
      <sheetName val="Sock_Liner_Spec_43"/>
      <sheetName val="_(6,7)43"/>
      <sheetName val="Skiving_Instruction_(1)43"/>
      <sheetName val="Spliting_Instructions43"/>
      <sheetName val="Tapering_Instructions43"/>
      <sheetName val="Marking_Location_(1)43"/>
      <sheetName val="Marking_Location_(2)43"/>
      <sheetName val="Trim_&amp;_Edge-painting43"/>
      <sheetName val="Reinforcement_Placement43"/>
      <sheetName val="Folding_Location43"/>
      <sheetName val="Pre-Buffing_Specification43"/>
      <sheetName val="Stitching_Instructions_(4)43"/>
      <sheetName val="Upper_Laser_Process-_Spec_43"/>
      <sheetName val="Upper_Laser_Process-Spec_(2)_43"/>
      <sheetName val="Upper_Laser_Process-Spec__(3)43"/>
      <sheetName val="Sockliner__Process43"/>
      <sheetName val="Outsole_Color_Schedule43"/>
      <sheetName val="Outsole_Preform_Specification77"/>
      <sheetName val="Outsole_Pressing_Process_43"/>
      <sheetName val="PU_CSS_CONFIRMATION43"/>
      <sheetName val="PU_CSS_Schedules43"/>
      <sheetName val="PU_Midsole_Spec_I43"/>
      <sheetName val="Stock_Fitting_Process_(8)43"/>
      <sheetName val="Stock_Fitting_Process_43"/>
      <sheetName val="Stock_Fitting_Process43"/>
      <sheetName val="Stock_Fitting_Process_(2)43"/>
      <sheetName val="Stock_Fitting_Process_(3)43"/>
      <sheetName val="Stockfit_BPFC43"/>
      <sheetName val="Assembling_Process43"/>
      <sheetName val="Assembling_Process_(2)43"/>
      <sheetName val="Assembly_BPFC43"/>
      <sheetName val="Production_Checklist43"/>
      <sheetName val="Sockliner_Specification43"/>
      <sheetName val="Upper_Measurement_Spec_43"/>
      <sheetName val="索引_(1)43"/>
      <sheetName val="沖孔規格說明_(2)43"/>
      <sheetName val="_削薄處指示說明43"/>
      <sheetName val="_削薄處指示說明_(2)43"/>
      <sheetName val="_削薄處指示說明_(3)43"/>
      <sheetName val="_削薄處指示說明_(4)43"/>
      <sheetName val="_削薄處指示說明_(5)43"/>
      <sheetName val="劃線印刷指示說明_(2)43"/>
      <sheetName val="劃線印刷指示說明_(3)43"/>
      <sheetName val="折邊指示說明_43"/>
      <sheetName val="針車流程_(2)43"/>
      <sheetName val="針車流程_(3)43"/>
      <sheetName val="針車流程_(4)43"/>
      <sheetName val="針車流程_(5)43"/>
      <sheetName val="針車流程_(6)43"/>
      <sheetName val="_鞋面印刷作業流程43"/>
      <sheetName val="_鞋面高週波作業流程_(2)43"/>
      <sheetName val="__鞋墊作業流程43"/>
      <sheetName val="Cover_313845-102((259_)_(2)43"/>
      <sheetName val="Index_(1)43"/>
      <sheetName val="Logo_Specification_(2)43"/>
      <sheetName val="Screen_Printing_(4)43"/>
      <sheetName val="Upper_HF_Welding_Process(5)43"/>
      <sheetName val="Index_(3)43"/>
      <sheetName val="Bottom_Component_Process_Spec43"/>
      <sheetName val="Stock_Fitting_Process_(4)43"/>
      <sheetName val="Stock_Fitting_Process_(5)43"/>
      <sheetName val="Stockfit_BPFC_(2)43"/>
      <sheetName val="Assembling_Process_(3)43"/>
      <sheetName val="Assembly_BPFC_(2)43"/>
      <sheetName val="Sockliner_Sublimation_Process43"/>
      <sheetName val="Cutting_D)e_(1)43"/>
      <sheetName val="Cutting_D)e_(2)43"/>
      <sheetName val="Cutting_D)e_(3)43"/>
      <sheetName val="Stitching_Instructio_s_(3)43"/>
      <sheetName val="output_per_jam43"/>
      <sheetName val="data_Productivity43"/>
      <sheetName val="MLT_43"/>
      <sheetName val="daily_BEP43"/>
      <sheetName val="178049A_XLS43"/>
      <sheetName val="LB_CUTTING_KUROBE43"/>
      <sheetName val="Cutting(3)_3_1743"/>
      <sheetName val="Cutting(5)_3_1343"/>
      <sheetName val="Cutting(6)3_1743"/>
      <sheetName val="Molding_Piece_Schedule43"/>
      <sheetName val="Perf_Specification_(1)43"/>
      <sheetName val="Perf_Specification_(2)43"/>
      <sheetName val="Skiving_Instruction_(3)43"/>
      <sheetName val="Skiving_Instruction_(4)43"/>
      <sheetName val="Skiving_Instruction_(5)43"/>
      <sheetName val="Tapering_Instructions_3_1343"/>
      <sheetName val="Marking_Location_(3)43"/>
      <sheetName val="Triming_edge_Instructions43"/>
      <sheetName val="Reinforcement_Placement_(1)43"/>
      <sheetName val="Reinforcement_Placement_(2)43"/>
      <sheetName val="Reinforcement_Placement_(2)2_53"/>
      <sheetName val="Reinforcement_Placement_(3)43"/>
      <sheetName val="Computer_Stitching_Schedule43"/>
      <sheetName val="Stitching_Overview_Sketch43"/>
      <sheetName val="Stitching_Instructions_(5)43"/>
      <sheetName val="Stitching_Instructions_(6)43"/>
      <sheetName val="Stitching_Instructions_(6)_3_53"/>
      <sheetName val="Stitching_Instructions_(7)43"/>
      <sheetName val="Upper_Injected_Compon_Pro__(143"/>
      <sheetName val="Upper_Injected_Compon_Pro__(243"/>
      <sheetName val="Upper_HF__Printing_Welding(1)43"/>
      <sheetName val="Upper_HF_Printing_Welding(2)43"/>
      <sheetName val="Upper_HF_Welding_Process_(3)43"/>
      <sheetName val="Upper_HF_Welding_Process_(4)43"/>
      <sheetName val="Upper_HF_Printing_Welding_(5)43"/>
      <sheetName val="Upper_HF_Welding_Process_(6)43"/>
      <sheetName val="CMP_PHYLON_CSS_CONFIRMATION43"/>
      <sheetName val="Phylon_Midsole_Spec_43"/>
      <sheetName val="Stock_Fitting_Process(3)43"/>
      <sheetName val="Stock_Fitting_Process_(6)43"/>
      <sheetName val="Stock_Fitting_Process_(7)43"/>
      <sheetName val="Upper_Weight_Control43"/>
      <sheetName val="Blank_Form43"/>
      <sheetName val="Raw_Data_Sheet43"/>
      <sheetName val="SPRAY_(A_MX_PLUS)16"/>
      <sheetName val="BOLD_SISTER-STRONG_SISTER_-TO17"/>
      <sheetName val="SHOX_NAVINA_,_SHOX_REVEAL16"/>
      <sheetName val="MODEL_SHOX_TURBO_OZ_(PS+TD)16"/>
      <sheetName val="Spray_Tower_Machine15"/>
      <sheetName val="Sheet1_(2)15"/>
      <sheetName val="LOB_Auto_CS_9015"/>
      <sheetName val="LB_(80)15"/>
      <sheetName val="TABLE_OF_CONTENTS15"/>
      <sheetName val="Dispenser_Ruang_Classic15"/>
      <sheetName val="Stock_Fitting_@_x005f_x001b__x005f_x000c_20"/>
      <sheetName val="SPM_(Cutting&amp;Pre)15"/>
      <sheetName val="Stock_Fitting_@_x005f_x001b__x005f_x000c_21"/>
      <sheetName val="5_수정데이터통합15"/>
      <sheetName val="SHOX_REMID_II15"/>
      <sheetName val="PU_15"/>
      <sheetName val="3_I-Prefit_Stitching15"/>
      <sheetName val="assmb_117"/>
      <sheetName val="assmb_217"/>
      <sheetName val="assmb_317"/>
      <sheetName val="assmb_417"/>
      <sheetName val="assmb_517"/>
      <sheetName val="assmb_617"/>
      <sheetName val="assmb_717"/>
      <sheetName val="Cutting_Dies_15"/>
      <sheetName val="Culture_of_Empowerment15"/>
      <sheetName val="A_TERRA15"/>
      <sheetName val="Cover_(2)15"/>
      <sheetName val="_Cutting(1)_15"/>
      <sheetName val="_Cutting__(2)15"/>
      <sheetName val="_Cutting__(3)15"/>
      <sheetName val="_Cutting__(4)15"/>
      <sheetName val="_Cutting__(5)15"/>
      <sheetName val="Reinf_Placement_(2)15"/>
      <sheetName val="Skiving_Instructions_(2)15"/>
      <sheetName val="Skiving_Instruction315"/>
      <sheetName val="Pre-Buffing_(2)15"/>
      <sheetName val="Tongue_Label15"/>
      <sheetName val="Stitching_Instructions(1)15"/>
      <sheetName val="Stitching_Instructions(2)15"/>
      <sheetName val="Stitching_Instructions(3)15"/>
      <sheetName val="Stitching_Instructions(4)15"/>
      <sheetName val="Stitching_Instructions(5)15"/>
      <sheetName val="Stitching_Instructions(6)15"/>
      <sheetName val="H_F__Welding_Proc15"/>
      <sheetName val="TPU_CLEANING&amp;SCREEN_PRINT_15"/>
      <sheetName val="Stitching_Instruction__(2)15"/>
      <sheetName val="Skiving_Instructions_15"/>
      <sheetName val="Key_Manufacturing_Details_(1)15"/>
      <sheetName val="월별_부하운영_계획__(3)15"/>
      <sheetName val="Upper_Measureme15"/>
      <sheetName val="Stitching_(G-Flux)15"/>
      <sheetName val="Stitching_(GD-Runner)15"/>
      <sheetName val="FA-HO11_Feb_201015"/>
      <sheetName val="Form_PDCA_Single_Project_-_IA15"/>
      <sheetName val="2_대외공문15"/>
      <sheetName val="Material_name15"/>
      <sheetName val="Mold_Efficiency_Form15"/>
      <sheetName val="Cover_45"/>
      <sheetName val="Sheet1_45"/>
      <sheetName val="Index_45"/>
      <sheetName val="Spec1_45"/>
      <sheetName val="Spec__90"/>
      <sheetName val="Spec__91"/>
      <sheetName val="Spec_46"/>
      <sheetName val="Spec_645"/>
      <sheetName val="Spec7_45"/>
      <sheetName val="Spec8_45"/>
      <sheetName val="cutting___45"/>
      <sheetName val="Punch_Specification__45"/>
      <sheetName val="Logo_Specification45"/>
      <sheetName val="Strap_Specification45"/>
      <sheetName val="Part_&amp;_Group_Specification45"/>
      <sheetName val="Reinf_Placement45"/>
      <sheetName val="Skiving_instructions45"/>
      <sheetName val="Marking_locations45"/>
      <sheetName val="Folding_Locations45"/>
      <sheetName val="Stitching_Over_View45"/>
      <sheetName val="stitching_instructions_45"/>
      <sheetName val="Computer_stitched45"/>
      <sheetName val="Upper_Molded_Component_Spec__45"/>
      <sheetName val="Upper_Molded_Component_Proc__45"/>
      <sheetName val="Upper_Measurement_Spec45"/>
      <sheetName val="PFC_Revice45"/>
      <sheetName val="Cutting_Die_(1)45"/>
      <sheetName val="Cutting_Die_(2)45"/>
      <sheetName val="Cutting_Die_(3)45"/>
      <sheetName val="Perf_Specification45"/>
      <sheetName val="Marking_Location45"/>
      <sheetName val="Marking_Locations_(2)45"/>
      <sheetName val="Skiving_Instruction_(2)45"/>
      <sheetName val="Spliting_45"/>
      <sheetName val="Reinf__Placement_(1)45"/>
      <sheetName val="Reinf__Placement_(2)45"/>
      <sheetName val="Stitching_Instructions_(1)45"/>
      <sheetName val="Stitching_Instructions_(2)45"/>
      <sheetName val="Stitching_Instructions_(3)45"/>
      <sheetName val="Computer_Stitching_45"/>
      <sheetName val="Upper_Molded_Component_Spec_45"/>
      <sheetName val="PHYLON_CSS45"/>
      <sheetName val="PHYLON_CSS_SCHEDULES45"/>
      <sheetName val="PHYLON_CSS_CONFIRMATION45"/>
      <sheetName val="Outsole_Color_45"/>
      <sheetName val="Outsole_Preform_Specification80"/>
      <sheetName val="Outsole_Pressing_Process45"/>
      <sheetName val="Outsole_Degreasing_Process_45"/>
      <sheetName val="Stock_Fiting_UV-Light_Proce_45"/>
      <sheetName val="Stock_Fiting_Process_45"/>
      <sheetName val="IY_06_0745"/>
      <sheetName val="Assembly_UV-Light_Process__45"/>
      <sheetName val="Assembly_Process_6,7_45"/>
      <sheetName val="Assembly_Process_6,745"/>
      <sheetName val="IY08_09_1045"/>
      <sheetName val="Assembly_Process_8,9,10_45"/>
      <sheetName val="Assembly_Process_8,9,10_(2_)45"/>
      <sheetName val="Back_Part_Moulding_(Soccer_TP45"/>
      <sheetName val="Ecosole_Instructions_45"/>
      <sheetName val="Sockliner_Instructions45"/>
      <sheetName val="Sock_Liner_Spec_45"/>
      <sheetName val="_(6,7)45"/>
      <sheetName val="Skiving_Instruction_(1)45"/>
      <sheetName val="Spliting_Instructions45"/>
      <sheetName val="Tapering_Instructions45"/>
      <sheetName val="Marking_Location_(1)45"/>
      <sheetName val="Marking_Location_(2)45"/>
      <sheetName val="Trim_&amp;_Edge-painting45"/>
      <sheetName val="Reinforcement_Placement45"/>
      <sheetName val="Folding_Location45"/>
      <sheetName val="Pre-Buffing_Specification45"/>
      <sheetName val="Stitching_Instructions_(4)45"/>
      <sheetName val="Upper_Laser_Process-_Spec_45"/>
      <sheetName val="Upper_Laser_Process-Spec_(2)_45"/>
      <sheetName val="Upper_Laser_Process-Spec__(3)45"/>
      <sheetName val="Sockliner__Process45"/>
      <sheetName val="Outsole_Color_Schedule45"/>
      <sheetName val="Outsole_Preform_Specification81"/>
      <sheetName val="Outsole_Pressing_Process_45"/>
      <sheetName val="PU_CSS_CONFIRMATION45"/>
      <sheetName val="PU_CSS_Schedules45"/>
      <sheetName val="PU_Midsole_Spec_I45"/>
      <sheetName val="Stock_Fitting_Process_(8)45"/>
      <sheetName val="Stock_Fitting_Process_45"/>
      <sheetName val="Stock_Fitting_Process45"/>
      <sheetName val="Stock_Fitting_Process_(2)45"/>
      <sheetName val="Stock_Fitting_Process_(3)45"/>
      <sheetName val="Stockfit_BPFC45"/>
      <sheetName val="Assembling_Process45"/>
      <sheetName val="Assembling_Process_(2)45"/>
      <sheetName val="Assembly_BPFC45"/>
      <sheetName val="Production_Checklist45"/>
      <sheetName val="Sockliner_Specification45"/>
      <sheetName val="Upper_Measurement_Spec_45"/>
      <sheetName val="索引_(1)45"/>
      <sheetName val="沖孔規格說明_(2)45"/>
      <sheetName val="_削薄處指示說明45"/>
      <sheetName val="_削薄處指示說明_(2)45"/>
      <sheetName val="_削薄處指示說明_(3)45"/>
      <sheetName val="_削薄處指示說明_(4)45"/>
      <sheetName val="_削薄處指示說明_(5)45"/>
      <sheetName val="劃線印刷指示說明_(2)45"/>
      <sheetName val="劃線印刷指示說明_(3)45"/>
      <sheetName val="折邊指示說明_45"/>
      <sheetName val="針車流程_(2)45"/>
      <sheetName val="針車流程_(3)45"/>
      <sheetName val="針車流程_(4)45"/>
      <sheetName val="針車流程_(5)45"/>
      <sheetName val="針車流程_(6)45"/>
      <sheetName val="_鞋面印刷作業流程45"/>
      <sheetName val="_鞋面高週波作業流程_(2)45"/>
      <sheetName val="__鞋墊作業流程45"/>
      <sheetName val="Cover_313845-102((259_)_(2)45"/>
      <sheetName val="Index_(1)45"/>
      <sheetName val="Logo_Specification_(2)45"/>
      <sheetName val="Screen_Printing_(4)45"/>
      <sheetName val="Upper_HF_Welding_Process(5)45"/>
      <sheetName val="Index_(3)45"/>
      <sheetName val="Bottom_Component_Process_Spec45"/>
      <sheetName val="Stock_Fitting_Process_(4)45"/>
      <sheetName val="Stock_Fitting_Process_(5)45"/>
      <sheetName val="Stockfit_BPFC_(2)45"/>
      <sheetName val="Assembling_Process_(3)45"/>
      <sheetName val="Assembly_BPFC_(2)45"/>
      <sheetName val="Sockliner_Sublimation_Process45"/>
      <sheetName val="Cutting_D)e_(1)45"/>
      <sheetName val="Cutting_D)e_(2)45"/>
      <sheetName val="Cutting_D)e_(3)45"/>
      <sheetName val="Stitching_Instructio_s_(3)45"/>
      <sheetName val="output_per_jam45"/>
      <sheetName val="data_Productivity45"/>
      <sheetName val="MLT_45"/>
      <sheetName val="daily_BEP45"/>
      <sheetName val="178049A_XLS45"/>
      <sheetName val="LB_CUTTING_KUROBE45"/>
      <sheetName val="Cutting(3)_3_1745"/>
      <sheetName val="Cutting(5)_3_1345"/>
      <sheetName val="Cutting(6)3_1745"/>
      <sheetName val="Molding_Piece_Schedule45"/>
      <sheetName val="Perf_Specification_(1)45"/>
      <sheetName val="Perf_Specification_(2)45"/>
      <sheetName val="Skiving_Instruction_(3)45"/>
      <sheetName val="Skiving_Instruction_(4)45"/>
      <sheetName val="Skiving_Instruction_(5)45"/>
      <sheetName val="Tapering_Instructions_3_1345"/>
      <sheetName val="Marking_Location_(3)45"/>
      <sheetName val="Triming_edge_Instructions45"/>
      <sheetName val="Reinforcement_Placement_(1)45"/>
      <sheetName val="Reinforcement_Placement_(2)45"/>
      <sheetName val="Reinforcement_Placement_(2)2_55"/>
      <sheetName val="Reinforcement_Placement_(3)45"/>
      <sheetName val="Computer_Stitching_Schedule45"/>
      <sheetName val="Stitching_Overview_Sketch45"/>
      <sheetName val="Stitching_Instructions_(5)45"/>
      <sheetName val="Stitching_Instructions_(6)45"/>
      <sheetName val="Stitching_Instructions_(6)_3_55"/>
      <sheetName val="Stitching_Instructions_(7)45"/>
      <sheetName val="Upper_Injected_Compon_Pro__(145"/>
      <sheetName val="Upper_Injected_Compon_Pro__(245"/>
      <sheetName val="Upper_HF__Printing_Welding(1)45"/>
      <sheetName val="Upper_HF_Printing_Welding(2)45"/>
      <sheetName val="Upper_HF_Welding_Process_(3)45"/>
      <sheetName val="Upper_HF_Welding_Process_(4)45"/>
      <sheetName val="Upper_HF_Printing_Welding_(5)45"/>
      <sheetName val="Upper_HF_Welding_Process_(6)45"/>
      <sheetName val="CMP_PHYLON_CSS_CONFIRMATION45"/>
      <sheetName val="Phylon_Midsole_Spec_45"/>
      <sheetName val="Stock_Fitting_Process(3)45"/>
      <sheetName val="Stock_Fitting_Process_(6)45"/>
      <sheetName val="Stock_Fitting_Process_(7)45"/>
      <sheetName val="Upper_Weight_Control45"/>
      <sheetName val="Blank_Form45"/>
      <sheetName val="Raw_Data_Sheet45"/>
      <sheetName val="SPRAY_(A_MX_PLUS)18"/>
      <sheetName val="BOLD_SISTER-STRONG_SISTER_-TO19"/>
      <sheetName val="SHOX_NAVINA_,_SHOX_REVEAL18"/>
      <sheetName val="MODEL_SHOX_TURBO_OZ_(PS+TD)18"/>
      <sheetName val="Spray_Tower_Machine17"/>
      <sheetName val="Sheet1_(2)17"/>
      <sheetName val="LOB_Auto_CS_9017"/>
      <sheetName val="LB_(80)17"/>
      <sheetName val="TABLE_OF_CONTENTS17"/>
      <sheetName val="Dispenser_Ruang_Classic17"/>
      <sheetName val="Stock_Fitting_@_x005f_x001b__x005f_x000c_24"/>
      <sheetName val="SPM_(Cutting&amp;Pre)17"/>
      <sheetName val="Stock_Fitting_@_x005f_x001b__x005f_x000c_25"/>
      <sheetName val="5_수정데이터통합17"/>
      <sheetName val="SHOX_REMID_II17"/>
      <sheetName val="PU_17"/>
      <sheetName val="3_I-Prefit_Stitching17"/>
      <sheetName val="assmb_119"/>
      <sheetName val="assmb_219"/>
      <sheetName val="assmb_319"/>
      <sheetName val="assmb_419"/>
      <sheetName val="assmb_519"/>
      <sheetName val="assmb_619"/>
      <sheetName val="assmb_719"/>
      <sheetName val="Cutting_Dies_17"/>
      <sheetName val="Culture_of_Empowerment17"/>
      <sheetName val="A_TERRA17"/>
      <sheetName val="Cover_(2)17"/>
      <sheetName val="_Cutting(1)_17"/>
      <sheetName val="_Cutting__(2)17"/>
      <sheetName val="_Cutting__(3)17"/>
      <sheetName val="_Cutting__(4)17"/>
      <sheetName val="_Cutting__(5)17"/>
      <sheetName val="Reinf_Placement_(2)17"/>
      <sheetName val="Skiving_Instructions_(2)17"/>
      <sheetName val="Skiving_Instruction317"/>
      <sheetName val="Pre-Buffing_(2)17"/>
      <sheetName val="Tongue_Label17"/>
      <sheetName val="Stitching_Instructions(1)17"/>
      <sheetName val="Stitching_Instructions(2)17"/>
      <sheetName val="Stitching_Instructions(3)17"/>
      <sheetName val="Stitching_Instructions(4)17"/>
      <sheetName val="Stitching_Instructions(5)17"/>
      <sheetName val="Stitching_Instructions(6)17"/>
      <sheetName val="H_F__Welding_Proc17"/>
      <sheetName val="TPU_CLEANING&amp;SCREEN_PRINT_17"/>
      <sheetName val="Stitching_Instruction__(2)17"/>
      <sheetName val="Skiving_Instructions_17"/>
      <sheetName val="Key_Manufacturing_Details_(1)17"/>
      <sheetName val="월별_부하운영_계획__(3)17"/>
      <sheetName val="Upper_Measureme17"/>
      <sheetName val="Stitching_(G-Flux)17"/>
      <sheetName val="Stitching_(GD-Runner)17"/>
      <sheetName val="FA-HO11_Feb_201017"/>
      <sheetName val="Form_PDCA_Single_Project_-_IA17"/>
      <sheetName val="2_대외공문17"/>
      <sheetName val="Material_name17"/>
      <sheetName val="Mold_Efficiency_Form17"/>
      <sheetName val="Cover_46"/>
      <sheetName val="Sheet1_46"/>
      <sheetName val="Index_46"/>
      <sheetName val="Spec1_46"/>
      <sheetName val="Spec__92"/>
      <sheetName val="Spec__93"/>
      <sheetName val="Spec_47"/>
      <sheetName val="Spec_646"/>
      <sheetName val="Spec7_46"/>
      <sheetName val="Spec8_46"/>
      <sheetName val="cutting___46"/>
      <sheetName val="Punch_Specification__46"/>
      <sheetName val="Logo_Specification46"/>
      <sheetName val="Strap_Specification46"/>
      <sheetName val="Part_&amp;_Group_Specification46"/>
      <sheetName val="Reinf_Placement46"/>
      <sheetName val="Skiving_instructions46"/>
      <sheetName val="Marking_locations46"/>
      <sheetName val="Folding_Locations46"/>
      <sheetName val="Stitching_Over_View46"/>
      <sheetName val="stitching_instructions_46"/>
      <sheetName val="Computer_stitched46"/>
      <sheetName val="Upper_Molded_Component_Spec__46"/>
      <sheetName val="Upper_Molded_Component_Proc__46"/>
      <sheetName val="Upper_Measurement_Spec46"/>
      <sheetName val="PFC_Revice46"/>
      <sheetName val="Cutting_Die_(1)46"/>
      <sheetName val="Cutting_Die_(2)46"/>
      <sheetName val="Cutting_Die_(3)46"/>
      <sheetName val="Perf_Specification46"/>
      <sheetName val="Marking_Location46"/>
      <sheetName val="Marking_Locations_(2)46"/>
      <sheetName val="Skiving_Instruction_(2)46"/>
      <sheetName val="Spliting_46"/>
      <sheetName val="Reinf__Placement_(1)46"/>
      <sheetName val="Reinf__Placement_(2)46"/>
      <sheetName val="Stitching_Instructions_(1)46"/>
      <sheetName val="Stitching_Instructions_(2)46"/>
      <sheetName val="Stitching_Instructions_(3)46"/>
      <sheetName val="Computer_Stitching_46"/>
      <sheetName val="Upper_Molded_Component_Spec_46"/>
      <sheetName val="PHYLON_CSS46"/>
      <sheetName val="PHYLON_CSS_SCHEDULES46"/>
      <sheetName val="PHYLON_CSS_CONFIRMATION46"/>
      <sheetName val="Outsole_Color_46"/>
      <sheetName val="Outsole_Preform_Specification82"/>
      <sheetName val="Outsole_Pressing_Process46"/>
      <sheetName val="Outsole_Degreasing_Process_46"/>
      <sheetName val="Stock_Fiting_UV-Light_Proce_46"/>
      <sheetName val="Stock_Fiting_Process_46"/>
      <sheetName val="IY_06_0746"/>
      <sheetName val="Assembly_UV-Light_Process__46"/>
      <sheetName val="Assembly_Process_6,7_46"/>
      <sheetName val="Assembly_Process_6,746"/>
      <sheetName val="IY08_09_1046"/>
      <sheetName val="Assembly_Process_8,9,10_46"/>
      <sheetName val="Assembly_Process_8,9,10_(2_)46"/>
      <sheetName val="Back_Part_Moulding_(Soccer_TP46"/>
      <sheetName val="Ecosole_Instructions_46"/>
      <sheetName val="Sockliner_Instructions46"/>
      <sheetName val="Sock_Liner_Spec_46"/>
      <sheetName val="_(6,7)46"/>
      <sheetName val="Skiving_Instruction_(1)46"/>
      <sheetName val="Spliting_Instructions46"/>
      <sheetName val="Tapering_Instructions46"/>
      <sheetName val="Marking_Location_(1)46"/>
      <sheetName val="Marking_Location_(2)46"/>
      <sheetName val="Trim_&amp;_Edge-painting46"/>
      <sheetName val="Reinforcement_Placement46"/>
      <sheetName val="Folding_Location46"/>
      <sheetName val="Pre-Buffing_Specification46"/>
      <sheetName val="Stitching_Instructions_(4)46"/>
      <sheetName val="Upper_Laser_Process-_Spec_46"/>
      <sheetName val="Upper_Laser_Process-Spec_(2)_46"/>
      <sheetName val="Upper_Laser_Process-Spec__(3)46"/>
      <sheetName val="Sockliner__Process46"/>
      <sheetName val="Outsole_Color_Schedule46"/>
      <sheetName val="Outsole_Preform_Specification83"/>
      <sheetName val="Outsole_Pressing_Process_46"/>
      <sheetName val="PU_CSS_CONFIRMATION46"/>
      <sheetName val="PU_CSS_Schedules46"/>
      <sheetName val="PU_Midsole_Spec_I46"/>
      <sheetName val="Stock_Fitting_Process_(8)46"/>
      <sheetName val="Stock_Fitting_Process_46"/>
      <sheetName val="Stock_Fitting_Process46"/>
      <sheetName val="Stock_Fitting_Process_(2)46"/>
      <sheetName val="Stock_Fitting_Process_(3)46"/>
      <sheetName val="Stockfit_BPFC46"/>
      <sheetName val="Assembling_Process46"/>
      <sheetName val="Assembling_Process_(2)46"/>
      <sheetName val="Assembly_BPFC46"/>
      <sheetName val="Production_Checklist46"/>
      <sheetName val="Sockliner_Specification46"/>
      <sheetName val="Upper_Measurement_Spec_46"/>
      <sheetName val="索引_(1)46"/>
      <sheetName val="沖孔規格說明_(2)46"/>
      <sheetName val="_削薄處指示說明46"/>
      <sheetName val="_削薄處指示說明_(2)46"/>
      <sheetName val="_削薄處指示說明_(3)46"/>
      <sheetName val="_削薄處指示說明_(4)46"/>
      <sheetName val="_削薄處指示說明_(5)46"/>
      <sheetName val="劃線印刷指示說明_(2)46"/>
      <sheetName val="劃線印刷指示說明_(3)46"/>
      <sheetName val="折邊指示說明_46"/>
      <sheetName val="針車流程_(2)46"/>
      <sheetName val="針車流程_(3)46"/>
      <sheetName val="針車流程_(4)46"/>
      <sheetName val="針車流程_(5)46"/>
      <sheetName val="針車流程_(6)46"/>
      <sheetName val="_鞋面印刷作業流程46"/>
      <sheetName val="_鞋面高週波作業流程_(2)46"/>
      <sheetName val="__鞋墊作業流程46"/>
      <sheetName val="Cover_313845-102((259_)_(2)46"/>
      <sheetName val="Index_(1)46"/>
      <sheetName val="Logo_Specification_(2)46"/>
      <sheetName val="Screen_Printing_(4)46"/>
      <sheetName val="Upper_HF_Welding_Process(5)46"/>
      <sheetName val="Index_(3)46"/>
      <sheetName val="Bottom_Component_Process_Spec46"/>
      <sheetName val="Stock_Fitting_Process_(4)46"/>
      <sheetName val="Stock_Fitting_Process_(5)46"/>
      <sheetName val="Stockfit_BPFC_(2)46"/>
      <sheetName val="Assembling_Process_(3)46"/>
      <sheetName val="Assembly_BPFC_(2)46"/>
      <sheetName val="Sockliner_Sublimation_Process46"/>
      <sheetName val="Cutting_D)e_(1)46"/>
      <sheetName val="Cutting_D)e_(2)46"/>
      <sheetName val="Cutting_D)e_(3)46"/>
      <sheetName val="Stitching_Instructio_s_(3)46"/>
      <sheetName val="output_per_jam46"/>
      <sheetName val="data_Productivity46"/>
      <sheetName val="MLT_46"/>
      <sheetName val="daily_BEP46"/>
      <sheetName val="178049A_XLS46"/>
      <sheetName val="LB_CUTTING_KUROBE46"/>
      <sheetName val="Cutting(3)_3_1746"/>
      <sheetName val="Cutting(5)_3_1346"/>
      <sheetName val="Cutting(6)3_1746"/>
      <sheetName val="Molding_Piece_Schedule46"/>
      <sheetName val="Perf_Specification_(1)46"/>
      <sheetName val="Perf_Specification_(2)46"/>
      <sheetName val="Skiving_Instruction_(3)46"/>
      <sheetName val="Skiving_Instruction_(4)46"/>
      <sheetName val="Skiving_Instruction_(5)46"/>
      <sheetName val="Tapering_Instructions_3_1346"/>
      <sheetName val="Marking_Location_(3)46"/>
      <sheetName val="Triming_edge_Instructions46"/>
      <sheetName val="Reinforcement_Placement_(1)46"/>
      <sheetName val="Reinforcement_Placement_(2)46"/>
      <sheetName val="Reinforcement_Placement_(2)2_56"/>
      <sheetName val="Reinforcement_Placement_(3)46"/>
      <sheetName val="Computer_Stitching_Schedule46"/>
      <sheetName val="Stitching_Overview_Sketch46"/>
      <sheetName val="Stitching_Instructions_(5)46"/>
      <sheetName val="Stitching_Instructions_(6)46"/>
      <sheetName val="Stitching_Instructions_(6)_3_56"/>
      <sheetName val="Stitching_Instructions_(7)46"/>
      <sheetName val="Upper_Injected_Compon_Pro__(146"/>
      <sheetName val="Upper_Injected_Compon_Pro__(246"/>
      <sheetName val="Upper_HF__Printing_Welding(1)46"/>
      <sheetName val="Upper_HF_Printing_Welding(2)46"/>
      <sheetName val="Upper_HF_Welding_Process_(3)46"/>
      <sheetName val="Upper_HF_Welding_Process_(4)46"/>
      <sheetName val="Upper_HF_Printing_Welding_(5)46"/>
      <sheetName val="Upper_HF_Welding_Process_(6)46"/>
      <sheetName val="CMP_PHYLON_CSS_CONFIRMATION46"/>
      <sheetName val="Phylon_Midsole_Spec_46"/>
      <sheetName val="Stock_Fitting_Process(3)46"/>
      <sheetName val="Stock_Fitting_Process_(6)46"/>
      <sheetName val="Stock_Fitting_Process_(7)46"/>
      <sheetName val="Upper_Weight_Control46"/>
      <sheetName val="Blank_Form46"/>
      <sheetName val="Raw_Data_Sheet46"/>
      <sheetName val="SPRAY_(A_MX_PLUS)19"/>
      <sheetName val="BOLD_SISTER-STRONG_SISTER_-TO20"/>
      <sheetName val="SHOX_NAVINA_,_SHOX_REVEAL19"/>
      <sheetName val="MODEL_SHOX_TURBO_OZ_(PS+TD)19"/>
      <sheetName val="Spray_Tower_Machine18"/>
      <sheetName val="Sheet1_(2)18"/>
      <sheetName val="LOB_Auto_CS_9018"/>
      <sheetName val="LB_(80)18"/>
      <sheetName val="TABLE_OF_CONTENTS18"/>
      <sheetName val="Dispenser_Ruang_Classic18"/>
      <sheetName val="Stock_Fitting_@_x005f_x001b__x005f_x000c_26"/>
      <sheetName val="SPM_(Cutting&amp;Pre)18"/>
      <sheetName val="Stock_Fitting_@_x005f_x001b__x005f_x000c_27"/>
      <sheetName val="5_수정데이터통합18"/>
      <sheetName val="SHOX_REMID_II18"/>
      <sheetName val="PU_18"/>
      <sheetName val="3_I-Prefit_Stitching18"/>
      <sheetName val="assmb_120"/>
      <sheetName val="assmb_220"/>
      <sheetName val="assmb_320"/>
      <sheetName val="assmb_420"/>
      <sheetName val="assmb_520"/>
      <sheetName val="assmb_620"/>
      <sheetName val="assmb_720"/>
      <sheetName val="Cutting_Dies_18"/>
      <sheetName val="Culture_of_Empowerment18"/>
      <sheetName val="A_TERRA18"/>
      <sheetName val="Cover_(2)18"/>
      <sheetName val="_Cutting(1)_18"/>
      <sheetName val="_Cutting__(2)18"/>
      <sheetName val="_Cutting__(3)18"/>
      <sheetName val="_Cutting__(4)18"/>
      <sheetName val="_Cutting__(5)18"/>
      <sheetName val="Reinf_Placement_(2)18"/>
      <sheetName val="Skiving_Instructions_(2)18"/>
      <sheetName val="Skiving_Instruction318"/>
      <sheetName val="Pre-Buffing_(2)18"/>
      <sheetName val="Tongue_Label18"/>
      <sheetName val="Stitching_Instructions(1)18"/>
      <sheetName val="Stitching_Instructions(2)18"/>
      <sheetName val="Stitching_Instructions(3)18"/>
      <sheetName val="Stitching_Instructions(4)18"/>
      <sheetName val="Stitching_Instructions(5)18"/>
      <sheetName val="Stitching_Instructions(6)18"/>
      <sheetName val="H_F__Welding_Proc18"/>
      <sheetName val="TPU_CLEANING&amp;SCREEN_PRINT_18"/>
      <sheetName val="Stitching_Instruction__(2)18"/>
      <sheetName val="Skiving_Instructions_18"/>
      <sheetName val="Key_Manufacturing_Details_(1)18"/>
      <sheetName val="월별_부하운영_계획__(3)18"/>
      <sheetName val="Upper_Measureme18"/>
      <sheetName val="Stitching_(G-Flux)18"/>
      <sheetName val="Stitching_(GD-Runner)18"/>
      <sheetName val="FA-HO11_Feb_201018"/>
      <sheetName val="Form_PDCA_Single_Project_-_IA18"/>
      <sheetName val="2_대외공문18"/>
      <sheetName val="Material_name18"/>
      <sheetName val="Mold_Efficiency_Form18"/>
      <sheetName val="Cover_47"/>
      <sheetName val="Sheet1_47"/>
      <sheetName val="Index_47"/>
      <sheetName val="Spec1_47"/>
      <sheetName val="Spec__94"/>
      <sheetName val="Spec__95"/>
      <sheetName val="Spec_48"/>
      <sheetName val="Spec_647"/>
      <sheetName val="Spec7_47"/>
      <sheetName val="Spec8_47"/>
      <sheetName val="cutting___47"/>
      <sheetName val="Punch_Specification__47"/>
      <sheetName val="Logo_Specification47"/>
      <sheetName val="Strap_Specification47"/>
      <sheetName val="Part_&amp;_Group_Specification47"/>
      <sheetName val="Reinf_Placement47"/>
      <sheetName val="Skiving_instructions47"/>
      <sheetName val="Marking_locations47"/>
      <sheetName val="Folding_Locations47"/>
      <sheetName val="Stitching_Over_View47"/>
      <sheetName val="stitching_instructions_47"/>
      <sheetName val="Computer_stitched47"/>
      <sheetName val="Upper_Molded_Component_Spec__47"/>
      <sheetName val="Upper_Molded_Component_Proc__47"/>
      <sheetName val="Upper_Measurement_Spec47"/>
      <sheetName val="PFC_Revice47"/>
      <sheetName val="Cutting_Die_(1)47"/>
      <sheetName val="Cutting_Die_(2)47"/>
      <sheetName val="Cutting_Die_(3)47"/>
      <sheetName val="Perf_Specification47"/>
      <sheetName val="Marking_Location47"/>
      <sheetName val="Marking_Locations_(2)47"/>
      <sheetName val="Skiving_Instruction_(2)47"/>
      <sheetName val="Spliting_47"/>
      <sheetName val="Reinf__Placement_(1)47"/>
      <sheetName val="Reinf__Placement_(2)47"/>
      <sheetName val="Stitching_Instructions_(1)47"/>
      <sheetName val="Stitching_Instructions_(2)47"/>
      <sheetName val="Stitching_Instructions_(3)47"/>
      <sheetName val="Computer_Stitching_47"/>
      <sheetName val="Upper_Molded_Component_Spec_47"/>
      <sheetName val="PHYLON_CSS47"/>
      <sheetName val="PHYLON_CSS_SCHEDULES47"/>
      <sheetName val="PHYLON_CSS_CONFIRMATION47"/>
      <sheetName val="Outsole_Color_47"/>
      <sheetName val="Outsole_Preform_Specification84"/>
      <sheetName val="Outsole_Pressing_Process47"/>
      <sheetName val="Outsole_Degreasing_Process_47"/>
      <sheetName val="Stock_Fiting_UV-Light_Proce_47"/>
      <sheetName val="Stock_Fiting_Process_47"/>
      <sheetName val="IY_06_0747"/>
      <sheetName val="Assembly_UV-Light_Process__47"/>
      <sheetName val="Assembly_Process_6,7_47"/>
      <sheetName val="Assembly_Process_6,747"/>
      <sheetName val="IY08_09_1047"/>
      <sheetName val="Assembly_Process_8,9,10_47"/>
      <sheetName val="Assembly_Process_8,9,10_(2_)47"/>
      <sheetName val="Back_Part_Moulding_(Soccer_TP47"/>
      <sheetName val="Ecosole_Instructions_47"/>
      <sheetName val="Sockliner_Instructions47"/>
      <sheetName val="Sock_Liner_Spec_47"/>
      <sheetName val="_(6,7)47"/>
      <sheetName val="Skiving_Instruction_(1)47"/>
      <sheetName val="Spliting_Instructions47"/>
      <sheetName val="Tapering_Instructions47"/>
      <sheetName val="Marking_Location_(1)47"/>
      <sheetName val="Marking_Location_(2)47"/>
      <sheetName val="Trim_&amp;_Edge-painting47"/>
      <sheetName val="Reinforcement_Placement47"/>
      <sheetName val="Folding_Location47"/>
      <sheetName val="Pre-Buffing_Specification47"/>
      <sheetName val="Stitching_Instructions_(4)47"/>
      <sheetName val="Upper_Laser_Process-_Spec_47"/>
      <sheetName val="Upper_Laser_Process-Spec_(2)_47"/>
      <sheetName val="Upper_Laser_Process-Spec__(3)47"/>
      <sheetName val="Sockliner__Process47"/>
      <sheetName val="Outsole_Color_Schedule47"/>
      <sheetName val="Outsole_Preform_Specification85"/>
      <sheetName val="Outsole_Pressing_Process_47"/>
      <sheetName val="PU_CSS_CONFIRMATION47"/>
      <sheetName val="PU_CSS_Schedules47"/>
      <sheetName val="PU_Midsole_Spec_I47"/>
      <sheetName val="Stock_Fitting_Process_(8)47"/>
      <sheetName val="Stock_Fitting_Process_47"/>
      <sheetName val="Stock_Fitting_Process47"/>
      <sheetName val="Stock_Fitting_Process_(2)47"/>
      <sheetName val="Stock_Fitting_Process_(3)47"/>
      <sheetName val="Stockfit_BPFC47"/>
      <sheetName val="Assembling_Process47"/>
      <sheetName val="Assembling_Process_(2)47"/>
      <sheetName val="Assembly_BPFC47"/>
      <sheetName val="Production_Checklist47"/>
      <sheetName val="Sockliner_Specification47"/>
      <sheetName val="Upper_Measurement_Spec_47"/>
      <sheetName val="索引_(1)47"/>
      <sheetName val="沖孔規格說明_(2)47"/>
      <sheetName val="_削薄處指示說明47"/>
      <sheetName val="_削薄處指示說明_(2)47"/>
      <sheetName val="_削薄處指示說明_(3)47"/>
      <sheetName val="_削薄處指示說明_(4)47"/>
      <sheetName val="_削薄處指示說明_(5)47"/>
      <sheetName val="劃線印刷指示說明_(2)47"/>
      <sheetName val="劃線印刷指示說明_(3)47"/>
      <sheetName val="折邊指示說明_47"/>
      <sheetName val="針車流程_(2)47"/>
      <sheetName val="針車流程_(3)47"/>
      <sheetName val="針車流程_(4)47"/>
      <sheetName val="針車流程_(5)47"/>
      <sheetName val="針車流程_(6)47"/>
      <sheetName val="_鞋面印刷作業流程47"/>
      <sheetName val="_鞋面高週波作業流程_(2)47"/>
      <sheetName val="__鞋墊作業流程47"/>
      <sheetName val="Cover_313845-102((259_)_(2)47"/>
      <sheetName val="Index_(1)47"/>
      <sheetName val="Logo_Specification_(2)47"/>
      <sheetName val="Screen_Printing_(4)47"/>
      <sheetName val="Upper_HF_Welding_Process(5)47"/>
      <sheetName val="Index_(3)47"/>
      <sheetName val="Bottom_Component_Process_Spec47"/>
      <sheetName val="Stock_Fitting_Process_(4)47"/>
      <sheetName val="Stock_Fitting_Process_(5)47"/>
      <sheetName val="Stockfit_BPFC_(2)47"/>
      <sheetName val="Assembling_Process_(3)47"/>
      <sheetName val="Assembly_BPFC_(2)47"/>
      <sheetName val="Sockliner_Sublimation_Process47"/>
      <sheetName val="Cutting_D)e_(1)47"/>
      <sheetName val="Cutting_D)e_(2)47"/>
      <sheetName val="Cutting_D)e_(3)47"/>
      <sheetName val="Stitching_Instructio_s_(3)47"/>
      <sheetName val="output_per_jam47"/>
      <sheetName val="data_Productivity47"/>
      <sheetName val="MLT_47"/>
      <sheetName val="daily_BEP47"/>
      <sheetName val="178049A_XLS47"/>
      <sheetName val="LB_CUTTING_KUROBE47"/>
      <sheetName val="Cutting(3)_3_1747"/>
      <sheetName val="Cutting(5)_3_1347"/>
      <sheetName val="Cutting(6)3_1747"/>
      <sheetName val="Molding_Piece_Schedule47"/>
      <sheetName val="Perf_Specification_(1)47"/>
      <sheetName val="Perf_Specification_(2)47"/>
      <sheetName val="Skiving_Instruction_(3)47"/>
      <sheetName val="Skiving_Instruction_(4)47"/>
      <sheetName val="Skiving_Instruction_(5)47"/>
      <sheetName val="Tapering_Instructions_3_1347"/>
      <sheetName val="Marking_Location_(3)47"/>
      <sheetName val="Triming_edge_Instructions47"/>
      <sheetName val="Reinforcement_Placement_(1)47"/>
      <sheetName val="Reinforcement_Placement_(2)47"/>
      <sheetName val="Reinforcement_Placement_(2)2_57"/>
      <sheetName val="Reinforcement_Placement_(3)47"/>
      <sheetName val="Computer_Stitching_Schedule47"/>
      <sheetName val="Stitching_Overview_Sketch47"/>
      <sheetName val="Stitching_Instructions_(5)47"/>
      <sheetName val="Stitching_Instructions_(6)47"/>
      <sheetName val="Stitching_Instructions_(6)_3_57"/>
      <sheetName val="Stitching_Instructions_(7)47"/>
      <sheetName val="Upper_Injected_Compon_Pro__(147"/>
      <sheetName val="Upper_Injected_Compon_Pro__(247"/>
      <sheetName val="Upper_HF__Printing_Welding(1)47"/>
      <sheetName val="Upper_HF_Printing_Welding(2)47"/>
      <sheetName val="Upper_HF_Welding_Process_(3)47"/>
      <sheetName val="Upper_HF_Welding_Process_(4)47"/>
      <sheetName val="Upper_HF_Printing_Welding_(5)47"/>
      <sheetName val="Upper_HF_Welding_Process_(6)47"/>
      <sheetName val="CMP_PHYLON_CSS_CONFIRMATION47"/>
      <sheetName val="Phylon_Midsole_Spec_47"/>
      <sheetName val="Stock_Fitting_Process(3)47"/>
      <sheetName val="Stock_Fitting_Process_(6)47"/>
      <sheetName val="Stock_Fitting_Process_(7)47"/>
      <sheetName val="Upper_Weight_Control47"/>
      <sheetName val="Blank_Form47"/>
      <sheetName val="Raw_Data_Sheet47"/>
      <sheetName val="SPRAY_(A_MX_PLUS)20"/>
      <sheetName val="BOLD_SISTER-STRONG_SISTER_-TO21"/>
      <sheetName val="SHOX_NAVINA_,_SHOX_REVEAL20"/>
      <sheetName val="MODEL_SHOX_TURBO_OZ_(PS+TD)20"/>
      <sheetName val="Spray_Tower_Machine19"/>
      <sheetName val="Sheet1_(2)19"/>
      <sheetName val="LOB_Auto_CS_9019"/>
      <sheetName val="LB_(80)19"/>
      <sheetName val="TABLE_OF_CONTENTS19"/>
      <sheetName val="Dispenser_Ruang_Classic19"/>
      <sheetName val="Stock_Fitting_@_x005f_x001b__x005f_x000c_28"/>
      <sheetName val="SPM_(Cutting&amp;Pre)19"/>
      <sheetName val="Stock_Fitting_@_x005f_x001b__x005f_x000c_29"/>
      <sheetName val="5_수정데이터통합19"/>
      <sheetName val="SHOX_REMID_II19"/>
      <sheetName val="PU_19"/>
      <sheetName val="3_I-Prefit_Stitching19"/>
      <sheetName val="assmb_121"/>
      <sheetName val="assmb_221"/>
      <sheetName val="assmb_321"/>
      <sheetName val="assmb_421"/>
      <sheetName val="assmb_521"/>
      <sheetName val="assmb_621"/>
      <sheetName val="assmb_721"/>
      <sheetName val="Cutting_Dies_19"/>
      <sheetName val="Culture_of_Empowerment19"/>
      <sheetName val="A_TERRA19"/>
      <sheetName val="Cover_(2)19"/>
      <sheetName val="_Cutting(1)_19"/>
      <sheetName val="_Cutting__(2)19"/>
      <sheetName val="_Cutting__(3)19"/>
      <sheetName val="_Cutting__(4)19"/>
      <sheetName val="_Cutting__(5)19"/>
      <sheetName val="Reinf_Placement_(2)19"/>
      <sheetName val="Skiving_Instructions_(2)19"/>
      <sheetName val="Skiving_Instruction319"/>
      <sheetName val="Pre-Buffing_(2)19"/>
      <sheetName val="Tongue_Label19"/>
      <sheetName val="Stitching_Instructions(1)19"/>
      <sheetName val="Stitching_Instructions(2)19"/>
      <sheetName val="Stitching_Instructions(3)19"/>
      <sheetName val="Stitching_Instructions(4)19"/>
      <sheetName val="Stitching_Instructions(5)19"/>
      <sheetName val="Stitching_Instructions(6)19"/>
      <sheetName val="H_F__Welding_Proc19"/>
      <sheetName val="TPU_CLEANING&amp;SCREEN_PRINT_19"/>
      <sheetName val="Stitching_Instruction__(2)19"/>
      <sheetName val="Skiving_Instructions_19"/>
      <sheetName val="Key_Manufacturing_Details_(1)19"/>
      <sheetName val="월별_부하운영_계획__(3)19"/>
      <sheetName val="Upper_Measureme19"/>
      <sheetName val="Stitching_(G-Flux)19"/>
      <sheetName val="Stitching_(GD-Runner)19"/>
      <sheetName val="FA-HO11_Feb_201019"/>
      <sheetName val="Form_PDCA_Single_Project_-_IA19"/>
      <sheetName val="2_대외공문19"/>
      <sheetName val="Material_name19"/>
      <sheetName val="Mold_Efficiency_Form19"/>
      <sheetName val="Cover_48"/>
      <sheetName val="Sheet1_48"/>
      <sheetName val="Index_48"/>
      <sheetName val="Spec1_48"/>
      <sheetName val="Spec__96"/>
      <sheetName val="Spec__97"/>
      <sheetName val="Spec_49"/>
      <sheetName val="Spec_648"/>
      <sheetName val="Spec7_48"/>
      <sheetName val="Spec8_48"/>
      <sheetName val="cutting___48"/>
      <sheetName val="Punch_Specification__48"/>
      <sheetName val="Logo_Specification48"/>
      <sheetName val="Strap_Specification48"/>
      <sheetName val="Part_&amp;_Group_Specification48"/>
      <sheetName val="Reinf_Placement48"/>
      <sheetName val="Skiving_instructions48"/>
      <sheetName val="Marking_locations48"/>
      <sheetName val="Folding_Locations48"/>
      <sheetName val="Stitching_Over_View48"/>
      <sheetName val="stitching_instructions_48"/>
      <sheetName val="Computer_stitched48"/>
      <sheetName val="Upper_Molded_Component_Spec__48"/>
      <sheetName val="Upper_Molded_Component_Proc__48"/>
      <sheetName val="Upper_Measurement_Spec48"/>
      <sheetName val="PFC_Revice48"/>
      <sheetName val="Cutting_Die_(1)48"/>
      <sheetName val="Cutting_Die_(2)48"/>
      <sheetName val="Cutting_Die_(3)48"/>
      <sheetName val="Perf_Specification48"/>
      <sheetName val="Marking_Location48"/>
      <sheetName val="Marking_Locations_(2)48"/>
      <sheetName val="Skiving_Instruction_(2)48"/>
      <sheetName val="Spliting_48"/>
      <sheetName val="Reinf__Placement_(1)48"/>
      <sheetName val="Reinf__Placement_(2)48"/>
      <sheetName val="Stitching_Instructions_(1)48"/>
      <sheetName val="Stitching_Instructions_(2)48"/>
      <sheetName val="Stitching_Instructions_(3)48"/>
      <sheetName val="Computer_Stitching_48"/>
      <sheetName val="Upper_Molded_Component_Spec_48"/>
      <sheetName val="PHYLON_CSS48"/>
      <sheetName val="PHYLON_CSS_SCHEDULES48"/>
      <sheetName val="PHYLON_CSS_CONFIRMATION48"/>
      <sheetName val="Outsole_Color_48"/>
      <sheetName val="Outsole_Preform_Specification86"/>
      <sheetName val="Outsole_Pressing_Process48"/>
      <sheetName val="Outsole_Degreasing_Process_48"/>
      <sheetName val="Stock_Fiting_UV-Light_Proce_48"/>
      <sheetName val="Stock_Fiting_Process_48"/>
      <sheetName val="IY_06_0748"/>
      <sheetName val="Assembly_UV-Light_Process__48"/>
      <sheetName val="Assembly_Process_6,7_48"/>
      <sheetName val="Assembly_Process_6,748"/>
      <sheetName val="IY08_09_1048"/>
      <sheetName val="Assembly_Process_8,9,10_48"/>
      <sheetName val="Assembly_Process_8,9,10_(2_)48"/>
      <sheetName val="Back_Part_Moulding_(Soccer_TP48"/>
      <sheetName val="Ecosole_Instructions_48"/>
      <sheetName val="Sockliner_Instructions48"/>
      <sheetName val="Sock_Liner_Spec_48"/>
      <sheetName val="_(6,7)48"/>
      <sheetName val="Skiving_Instruction_(1)48"/>
      <sheetName val="Spliting_Instructions48"/>
      <sheetName val="Tapering_Instructions48"/>
      <sheetName val="Marking_Location_(1)48"/>
      <sheetName val="Marking_Location_(2)48"/>
      <sheetName val="Trim_&amp;_Edge-painting48"/>
      <sheetName val="Reinforcement_Placement48"/>
      <sheetName val="Folding_Location48"/>
      <sheetName val="Pre-Buffing_Specification48"/>
      <sheetName val="Stitching_Instructions_(4)48"/>
      <sheetName val="Upper_Laser_Process-_Spec_48"/>
      <sheetName val="Upper_Laser_Process-Spec_(2)_48"/>
      <sheetName val="Upper_Laser_Process-Spec__(3)48"/>
      <sheetName val="Sockliner__Process48"/>
      <sheetName val="Outsole_Color_Schedule48"/>
      <sheetName val="Outsole_Preform_Specification87"/>
      <sheetName val="Outsole_Pressing_Process_48"/>
      <sheetName val="PU_CSS_CONFIRMATION48"/>
      <sheetName val="PU_CSS_Schedules48"/>
      <sheetName val="PU_Midsole_Spec_I48"/>
      <sheetName val="Stock_Fitting_Process_(8)48"/>
      <sheetName val="Stock_Fitting_Process_48"/>
      <sheetName val="Stock_Fitting_Process48"/>
      <sheetName val="Stock_Fitting_Process_(2)48"/>
      <sheetName val="Stock_Fitting_Process_(3)48"/>
      <sheetName val="Stockfit_BPFC48"/>
      <sheetName val="Assembling_Process48"/>
      <sheetName val="Assembling_Process_(2)48"/>
      <sheetName val="Assembly_BPFC48"/>
      <sheetName val="Production_Checklist48"/>
      <sheetName val="Sockliner_Specification48"/>
      <sheetName val="Upper_Measurement_Spec_48"/>
      <sheetName val="索引_(1)48"/>
      <sheetName val="沖孔規格說明_(2)48"/>
      <sheetName val="_削薄處指示說明48"/>
      <sheetName val="_削薄處指示說明_(2)48"/>
      <sheetName val="_削薄處指示說明_(3)48"/>
      <sheetName val="_削薄處指示說明_(4)48"/>
      <sheetName val="_削薄處指示說明_(5)48"/>
      <sheetName val="劃線印刷指示說明_(2)48"/>
      <sheetName val="劃線印刷指示說明_(3)48"/>
      <sheetName val="折邊指示說明_48"/>
      <sheetName val="針車流程_(2)48"/>
      <sheetName val="針車流程_(3)48"/>
      <sheetName val="針車流程_(4)48"/>
      <sheetName val="針車流程_(5)48"/>
      <sheetName val="針車流程_(6)48"/>
      <sheetName val="_鞋面印刷作業流程48"/>
      <sheetName val="_鞋面高週波作業流程_(2)48"/>
      <sheetName val="__鞋墊作業流程48"/>
      <sheetName val="Cover_313845-102((259_)_(2)48"/>
      <sheetName val="Index_(1)48"/>
      <sheetName val="Logo_Specification_(2)48"/>
      <sheetName val="Screen_Printing_(4)48"/>
      <sheetName val="Upper_HF_Welding_Process(5)48"/>
      <sheetName val="Index_(3)48"/>
      <sheetName val="Bottom_Component_Process_Spec48"/>
      <sheetName val="Stock_Fitting_Process_(4)48"/>
      <sheetName val="Stock_Fitting_Process_(5)48"/>
      <sheetName val="Stockfit_BPFC_(2)48"/>
      <sheetName val="Assembling_Process_(3)48"/>
      <sheetName val="Assembly_BPFC_(2)48"/>
      <sheetName val="Sockliner_Sublimation_Process48"/>
      <sheetName val="Cutting_D)e_(1)48"/>
      <sheetName val="Cutting_D)e_(2)48"/>
      <sheetName val="Cutting_D)e_(3)48"/>
      <sheetName val="Stitching_Instructio_s_(3)48"/>
      <sheetName val="output_per_jam48"/>
      <sheetName val="data_Productivity48"/>
      <sheetName val="MLT_48"/>
      <sheetName val="daily_BEP48"/>
      <sheetName val="178049A_XLS48"/>
      <sheetName val="LB_CUTTING_KUROBE48"/>
      <sheetName val="Cutting(3)_3_1748"/>
      <sheetName val="Cutting(5)_3_1348"/>
      <sheetName val="Cutting(6)3_1748"/>
      <sheetName val="Molding_Piece_Schedule48"/>
      <sheetName val="Perf_Specification_(1)48"/>
      <sheetName val="Perf_Specification_(2)48"/>
      <sheetName val="Skiving_Instruction_(3)48"/>
      <sheetName val="Skiving_Instruction_(4)48"/>
      <sheetName val="Skiving_Instruction_(5)48"/>
      <sheetName val="Tapering_Instructions_3_1348"/>
      <sheetName val="Marking_Location_(3)48"/>
      <sheetName val="Triming_edge_Instructions48"/>
      <sheetName val="Reinforcement_Placement_(1)48"/>
      <sheetName val="Reinforcement_Placement_(2)48"/>
      <sheetName val="Reinforcement_Placement_(2)2_58"/>
      <sheetName val="Reinforcement_Placement_(3)48"/>
      <sheetName val="Computer_Stitching_Schedule48"/>
      <sheetName val="Stitching_Overview_Sketch48"/>
      <sheetName val="Stitching_Instructions_(5)48"/>
      <sheetName val="Stitching_Instructions_(6)48"/>
      <sheetName val="Stitching_Instructions_(6)_3_58"/>
      <sheetName val="Stitching_Instructions_(7)48"/>
      <sheetName val="Upper_Injected_Compon_Pro__(148"/>
      <sheetName val="Upper_Injected_Compon_Pro__(248"/>
      <sheetName val="Upper_HF__Printing_Welding(1)48"/>
      <sheetName val="Upper_HF_Printing_Welding(2)48"/>
      <sheetName val="Upper_HF_Welding_Process_(3)48"/>
      <sheetName val="Upper_HF_Welding_Process_(4)48"/>
      <sheetName val="Upper_HF_Printing_Welding_(5)48"/>
      <sheetName val="Upper_HF_Welding_Process_(6)48"/>
      <sheetName val="CMP_PHYLON_CSS_CONFIRMATION48"/>
      <sheetName val="Phylon_Midsole_Spec_48"/>
      <sheetName val="Stock_Fitting_Process(3)48"/>
      <sheetName val="Stock_Fitting_Process_(6)48"/>
      <sheetName val="Stock_Fitting_Process_(7)48"/>
      <sheetName val="Upper_Weight_Control48"/>
      <sheetName val="Blank_Form48"/>
      <sheetName val="Raw_Data_Sheet48"/>
      <sheetName val="SPRAY_(A_MX_PLUS)21"/>
      <sheetName val="BOLD_SISTER-STRONG_SISTER_-TO22"/>
      <sheetName val="SHOX_NAVINA_,_SHOX_REVEAL21"/>
      <sheetName val="MODEL_SHOX_TURBO_OZ_(PS+TD)21"/>
      <sheetName val="Spray_Tower_Machine20"/>
      <sheetName val="Sheet1_(2)20"/>
      <sheetName val="LOB_Auto_CS_9020"/>
      <sheetName val="LB_(80)20"/>
      <sheetName val="TABLE_OF_CONTENTS20"/>
      <sheetName val="Dispenser_Ruang_Classic20"/>
      <sheetName val="Stock_Fitting_@_x005f_x001b__x005f_x000c_30"/>
      <sheetName val="SPM_(Cutting&amp;Pre)20"/>
      <sheetName val="Stock_Fitting_@_x005f_x001b__x005f_x000c_31"/>
      <sheetName val="5_수정데이터통합20"/>
      <sheetName val="SHOX_REMID_II20"/>
      <sheetName val="PU_20"/>
      <sheetName val="3_I-Prefit_Stitching20"/>
      <sheetName val="assmb_122"/>
      <sheetName val="assmb_222"/>
      <sheetName val="assmb_322"/>
      <sheetName val="assmb_422"/>
      <sheetName val="assmb_522"/>
      <sheetName val="assmb_622"/>
      <sheetName val="assmb_722"/>
      <sheetName val="Cutting_Dies_20"/>
      <sheetName val="Culture_of_Empowerment20"/>
      <sheetName val="A_TERRA20"/>
      <sheetName val="Cover_(2)20"/>
      <sheetName val="_Cutting(1)_20"/>
      <sheetName val="_Cutting__(2)20"/>
      <sheetName val="_Cutting__(3)20"/>
      <sheetName val="_Cutting__(4)20"/>
      <sheetName val="_Cutting__(5)20"/>
      <sheetName val="Reinf_Placement_(2)20"/>
      <sheetName val="Skiving_Instructions_(2)20"/>
      <sheetName val="Skiving_Instruction320"/>
      <sheetName val="Pre-Buffing_(2)20"/>
      <sheetName val="Tongue_Label20"/>
      <sheetName val="Stitching_Instructions(1)20"/>
      <sheetName val="Stitching_Instructions(2)20"/>
      <sheetName val="Stitching_Instructions(3)20"/>
      <sheetName val="Stitching_Instructions(4)20"/>
      <sheetName val="Stitching_Instructions(5)20"/>
      <sheetName val="Stitching_Instructions(6)20"/>
      <sheetName val="H_F__Welding_Proc20"/>
      <sheetName val="TPU_CLEANING&amp;SCREEN_PRINT_20"/>
      <sheetName val="Stitching_Instruction__(2)20"/>
      <sheetName val="Skiving_Instructions_20"/>
      <sheetName val="Key_Manufacturing_Details_(1)20"/>
      <sheetName val="월별_부하운영_계획__(3)20"/>
      <sheetName val="Upper_Measureme20"/>
      <sheetName val="Stitching_(G-Flux)20"/>
      <sheetName val="Stitching_(GD-Runner)20"/>
      <sheetName val="FA-HO11_Feb_201020"/>
      <sheetName val="Form_PDCA_Single_Project_-_IA20"/>
      <sheetName val="2_대외공문20"/>
      <sheetName val="Material_name20"/>
      <sheetName val="Mold_Efficiency_Form20"/>
      <sheetName val="Stock_Fitting_@_x001b__x000c__x"/>
      <sheetName val="Stock_Fitting_@_x001b__x000c_"/>
      <sheetName val="Stock_Fitting_@_x001b__x000c__7"/>
      <sheetName val="Stock_Fitting_@_x001b__x000c_7"/>
      <sheetName val="Stock_Fitting_@_x001b__x000c__1"/>
      <sheetName val="Stock_Fitting_@_x001b__x000c_1"/>
      <sheetName val="Stock_Fitting_@_x001b__x000c__4"/>
      <sheetName val="Stock_Fitting_@_x001b__x000c_4"/>
      <sheetName val="Stock_Fitting_@_x001b__x000c__2"/>
      <sheetName val="Stock_Fitting_@_x001b__x000c_2"/>
      <sheetName val="Stock_Fitting_@_x001b__x000c__3"/>
      <sheetName val="Stock_Fitting_@_x001b__x000c_3"/>
      <sheetName val="Stock_Fitting_@_x001b__x000c__5"/>
      <sheetName val="Stock_Fitting_@_x001b__x000c_5"/>
      <sheetName val="Stock_Fitting_@_x001b__x000c__6"/>
      <sheetName val="Stock_Fitting_@_x001b__x000c_6"/>
      <sheetName val="Stock_Fitting_@_x001b__x000c_16"/>
      <sheetName val="Stock_Fitting_@_x001b__x000c_17"/>
      <sheetName val="Stock_Fitting_@_x001b__x000c__8"/>
      <sheetName val="Stock_Fitting_@_x001b__x000c_8"/>
      <sheetName val="Stock_Fitting_@_x001b__x000c__9"/>
      <sheetName val="Stock_Fitting_@_x001b__x000c_9"/>
      <sheetName val="Stock_Fitting_@_x001b__x000c_10"/>
      <sheetName val="Stock_Fitting_@_x001b__x000c_11"/>
      <sheetName val="Stock_Fitting_@_x001b__x000c_12"/>
      <sheetName val="Stock_Fitting_@_x001b__x000c_13"/>
      <sheetName val="Stock_Fitting_@_x001b__x000c_14"/>
      <sheetName val="Stock_Fitting_@_x001b__x000c_15"/>
      <sheetName val="Stock_Fitting_@_x001b__x000c_18"/>
      <sheetName val="Stock_Fitting_@_x001b__x000c_19"/>
      <sheetName val="Stock_Fitting_@_x001b__x000c_22"/>
      <sheetName val="Stock_Fitting_@_x001b__x000c_23"/>
      <sheetName val="Stock_Fitting_@_x001b__x000c_20"/>
      <sheetName val="Stock_Fitting_@_x001b__x000c_21"/>
      <sheetName val="Stock_Fitting_@_x001b__x000c_24"/>
      <sheetName val="Stock_Fitting_@_x001b__x000c_25"/>
      <sheetName val="Stock_Fitting_@_x001b__x000c_26"/>
      <sheetName val="Stock_Fitting_@_x001b__x000c_27"/>
      <sheetName val="Stock_Fitting_@_x001b__x000c_28"/>
      <sheetName val="Stock_Fitting_@_x001b__x000c_29"/>
      <sheetName val="Stock_Fitting_@_x001b__x000c_30"/>
      <sheetName val="Stock_Fitting_@_x001b__x000c_31"/>
      <sheetName val="MESIN"/>
      <sheetName val="Stock_Fitting_@_x"/>
      <sheetName val="Vietnam_Report"/>
      <sheetName val="Flow_Chart_"/>
      <sheetName val="VAMP"/>
    </sheetNames>
    <definedNames>
      <definedName name="a??u55_Click" refersTo="#REF!"/>
      <definedName name="直線55_Click" refersTo="#REF!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>
        <row r="6">
          <cell r="EO6">
            <v>0</v>
          </cell>
        </row>
      </sheetData>
      <sheetData sheetId="97"/>
      <sheetData sheetId="98"/>
      <sheetData sheetId="99"/>
      <sheetData sheetId="100"/>
      <sheetData sheetId="101">
        <row r="6">
          <cell r="EO6">
            <v>0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 refreshError="1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/>
      <sheetData sheetId="5173" refreshError="1"/>
      <sheetData sheetId="5174" refreshError="1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 refreshError="1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>
        <row r="6">
          <cell r="EO6">
            <v>0</v>
          </cell>
        </row>
      </sheetData>
      <sheetData sheetId="5480">
        <row r="6">
          <cell r="EO6">
            <v>0</v>
          </cell>
        </row>
      </sheetData>
      <sheetData sheetId="5481">
        <row r="6">
          <cell r="EO6">
            <v>0</v>
          </cell>
        </row>
      </sheetData>
      <sheetData sheetId="5482">
        <row r="6">
          <cell r="EO6">
            <v>0</v>
          </cell>
        </row>
      </sheetData>
      <sheetData sheetId="5483">
        <row r="6">
          <cell r="EO6">
            <v>0</v>
          </cell>
        </row>
      </sheetData>
      <sheetData sheetId="5484">
        <row r="6">
          <cell r="EO6">
            <v>0</v>
          </cell>
        </row>
      </sheetData>
      <sheetData sheetId="5485">
        <row r="6">
          <cell r="EO6">
            <v>0</v>
          </cell>
        </row>
      </sheetData>
      <sheetData sheetId="5486">
        <row r="6">
          <cell r="EO6">
            <v>0</v>
          </cell>
        </row>
      </sheetData>
      <sheetData sheetId="5487">
        <row r="6">
          <cell r="EO6">
            <v>0</v>
          </cell>
        </row>
      </sheetData>
      <sheetData sheetId="5488">
        <row r="6">
          <cell r="EO6">
            <v>0</v>
          </cell>
        </row>
      </sheetData>
      <sheetData sheetId="5489">
        <row r="6">
          <cell r="EO6">
            <v>0</v>
          </cell>
        </row>
      </sheetData>
      <sheetData sheetId="5490">
        <row r="6">
          <cell r="EO6">
            <v>0</v>
          </cell>
        </row>
      </sheetData>
      <sheetData sheetId="5491">
        <row r="6">
          <cell r="EO6">
            <v>0</v>
          </cell>
        </row>
      </sheetData>
      <sheetData sheetId="5492">
        <row r="6">
          <cell r="EO6">
            <v>0</v>
          </cell>
        </row>
      </sheetData>
      <sheetData sheetId="5493">
        <row r="6">
          <cell r="EO6">
            <v>0</v>
          </cell>
        </row>
      </sheetData>
      <sheetData sheetId="5494">
        <row r="6">
          <cell r="EO6">
            <v>0</v>
          </cell>
        </row>
      </sheetData>
      <sheetData sheetId="5495">
        <row r="6">
          <cell r="EO6">
            <v>0</v>
          </cell>
        </row>
      </sheetData>
      <sheetData sheetId="5496">
        <row r="6">
          <cell r="EO6">
            <v>0</v>
          </cell>
        </row>
      </sheetData>
      <sheetData sheetId="5497">
        <row r="6">
          <cell r="EO6">
            <v>0</v>
          </cell>
        </row>
      </sheetData>
      <sheetData sheetId="5498">
        <row r="6">
          <cell r="EO6">
            <v>0</v>
          </cell>
        </row>
      </sheetData>
      <sheetData sheetId="5499">
        <row r="6">
          <cell r="EO6">
            <v>0</v>
          </cell>
        </row>
      </sheetData>
      <sheetData sheetId="5500">
        <row r="6">
          <cell r="EO6">
            <v>0</v>
          </cell>
        </row>
      </sheetData>
      <sheetData sheetId="5501">
        <row r="6">
          <cell r="EO6">
            <v>0</v>
          </cell>
        </row>
      </sheetData>
      <sheetData sheetId="5502">
        <row r="6">
          <cell r="EO6">
            <v>0</v>
          </cell>
        </row>
      </sheetData>
      <sheetData sheetId="5503">
        <row r="6">
          <cell r="EO6">
            <v>0</v>
          </cell>
        </row>
      </sheetData>
      <sheetData sheetId="5504">
        <row r="6">
          <cell r="EO6">
            <v>0</v>
          </cell>
        </row>
      </sheetData>
      <sheetData sheetId="5505">
        <row r="6">
          <cell r="EO6">
            <v>0</v>
          </cell>
        </row>
      </sheetData>
      <sheetData sheetId="5506">
        <row r="6">
          <cell r="EO6">
            <v>0</v>
          </cell>
        </row>
      </sheetData>
      <sheetData sheetId="5507">
        <row r="6">
          <cell r="EO6">
            <v>0</v>
          </cell>
        </row>
      </sheetData>
      <sheetData sheetId="5508">
        <row r="6">
          <cell r="EO6">
            <v>0</v>
          </cell>
        </row>
      </sheetData>
      <sheetData sheetId="5509">
        <row r="6">
          <cell r="EO6">
            <v>0</v>
          </cell>
        </row>
      </sheetData>
      <sheetData sheetId="5510">
        <row r="6">
          <cell r="EO6">
            <v>0</v>
          </cell>
        </row>
      </sheetData>
      <sheetData sheetId="5511">
        <row r="6">
          <cell r="EO6">
            <v>0</v>
          </cell>
        </row>
      </sheetData>
      <sheetData sheetId="5512">
        <row r="6">
          <cell r="EO6">
            <v>0</v>
          </cell>
        </row>
      </sheetData>
      <sheetData sheetId="5513">
        <row r="6">
          <cell r="EO6">
            <v>0</v>
          </cell>
        </row>
      </sheetData>
      <sheetData sheetId="5514">
        <row r="6">
          <cell r="EO6">
            <v>0</v>
          </cell>
        </row>
      </sheetData>
      <sheetData sheetId="5515">
        <row r="6">
          <cell r="EO6">
            <v>0</v>
          </cell>
        </row>
      </sheetData>
      <sheetData sheetId="5516">
        <row r="6">
          <cell r="EO6">
            <v>0</v>
          </cell>
        </row>
      </sheetData>
      <sheetData sheetId="5517">
        <row r="6">
          <cell r="EO6">
            <v>0</v>
          </cell>
        </row>
      </sheetData>
      <sheetData sheetId="5518">
        <row r="6">
          <cell r="EO6">
            <v>0</v>
          </cell>
        </row>
      </sheetData>
      <sheetData sheetId="5519">
        <row r="6">
          <cell r="EO6">
            <v>0</v>
          </cell>
        </row>
      </sheetData>
      <sheetData sheetId="5520">
        <row r="6">
          <cell r="EO6">
            <v>0</v>
          </cell>
        </row>
      </sheetData>
      <sheetData sheetId="5521">
        <row r="6">
          <cell r="EO6">
            <v>0</v>
          </cell>
        </row>
      </sheetData>
      <sheetData sheetId="5522">
        <row r="6">
          <cell r="EO6">
            <v>0</v>
          </cell>
        </row>
      </sheetData>
      <sheetData sheetId="5523"/>
      <sheetData sheetId="5524">
        <row r="6">
          <cell r="EO6">
            <v>0</v>
          </cell>
        </row>
      </sheetData>
      <sheetData sheetId="5525"/>
      <sheetData sheetId="5526"/>
      <sheetData sheetId="5527">
        <row r="6">
          <cell r="EO6">
            <v>0</v>
          </cell>
        </row>
      </sheetData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>
        <row r="6">
          <cell r="EO6">
            <v>0</v>
          </cell>
        </row>
      </sheetData>
      <sheetData sheetId="5699">
        <row r="6">
          <cell r="EO6">
            <v>0</v>
          </cell>
        </row>
      </sheetData>
      <sheetData sheetId="5700">
        <row r="6">
          <cell r="EO6">
            <v>0</v>
          </cell>
        </row>
      </sheetData>
      <sheetData sheetId="5701">
        <row r="6">
          <cell r="EO6">
            <v>0</v>
          </cell>
        </row>
      </sheetData>
      <sheetData sheetId="5702">
        <row r="6">
          <cell r="EO6">
            <v>0</v>
          </cell>
        </row>
      </sheetData>
      <sheetData sheetId="5703">
        <row r="6">
          <cell r="EO6">
            <v>0</v>
          </cell>
        </row>
      </sheetData>
      <sheetData sheetId="5704">
        <row r="6">
          <cell r="EO6">
            <v>0</v>
          </cell>
        </row>
      </sheetData>
      <sheetData sheetId="5705">
        <row r="6">
          <cell r="EO6">
            <v>0</v>
          </cell>
        </row>
      </sheetData>
      <sheetData sheetId="5706">
        <row r="6">
          <cell r="EO6">
            <v>0</v>
          </cell>
        </row>
      </sheetData>
      <sheetData sheetId="5707">
        <row r="6">
          <cell r="EO6">
            <v>0</v>
          </cell>
        </row>
      </sheetData>
      <sheetData sheetId="5708">
        <row r="6">
          <cell r="EO6">
            <v>0</v>
          </cell>
        </row>
      </sheetData>
      <sheetData sheetId="5709">
        <row r="6">
          <cell r="EO6">
            <v>0</v>
          </cell>
        </row>
      </sheetData>
      <sheetData sheetId="5710">
        <row r="6">
          <cell r="EO6">
            <v>0</v>
          </cell>
        </row>
      </sheetData>
      <sheetData sheetId="5711">
        <row r="6">
          <cell r="EO6">
            <v>0</v>
          </cell>
        </row>
      </sheetData>
      <sheetData sheetId="5712">
        <row r="6">
          <cell r="EO6">
            <v>0</v>
          </cell>
        </row>
      </sheetData>
      <sheetData sheetId="5713">
        <row r="6">
          <cell r="EO6">
            <v>0</v>
          </cell>
        </row>
      </sheetData>
      <sheetData sheetId="5714">
        <row r="6">
          <cell r="EO6">
            <v>0</v>
          </cell>
        </row>
      </sheetData>
      <sheetData sheetId="5715">
        <row r="6">
          <cell r="EO6">
            <v>0</v>
          </cell>
        </row>
      </sheetData>
      <sheetData sheetId="5716">
        <row r="6">
          <cell r="EO6">
            <v>0</v>
          </cell>
        </row>
      </sheetData>
      <sheetData sheetId="5717">
        <row r="6">
          <cell r="EO6">
            <v>0</v>
          </cell>
        </row>
      </sheetData>
      <sheetData sheetId="5718">
        <row r="6">
          <cell r="EO6">
            <v>0</v>
          </cell>
        </row>
      </sheetData>
      <sheetData sheetId="5719">
        <row r="6">
          <cell r="EO6">
            <v>0</v>
          </cell>
        </row>
      </sheetData>
      <sheetData sheetId="5720">
        <row r="6">
          <cell r="EO6">
            <v>0</v>
          </cell>
        </row>
      </sheetData>
      <sheetData sheetId="5721">
        <row r="6">
          <cell r="EO6">
            <v>0</v>
          </cell>
        </row>
      </sheetData>
      <sheetData sheetId="5722">
        <row r="6">
          <cell r="EO6">
            <v>0</v>
          </cell>
        </row>
      </sheetData>
      <sheetData sheetId="5723">
        <row r="6">
          <cell r="EO6">
            <v>0</v>
          </cell>
        </row>
      </sheetData>
      <sheetData sheetId="5724">
        <row r="6">
          <cell r="EO6">
            <v>0</v>
          </cell>
        </row>
      </sheetData>
      <sheetData sheetId="5725">
        <row r="6">
          <cell r="EO6">
            <v>0</v>
          </cell>
        </row>
      </sheetData>
      <sheetData sheetId="5726">
        <row r="6">
          <cell r="EO6">
            <v>0</v>
          </cell>
        </row>
      </sheetData>
      <sheetData sheetId="5727">
        <row r="6">
          <cell r="EO6">
            <v>0</v>
          </cell>
        </row>
      </sheetData>
      <sheetData sheetId="5728">
        <row r="6">
          <cell r="EO6">
            <v>0</v>
          </cell>
        </row>
      </sheetData>
      <sheetData sheetId="5729">
        <row r="6">
          <cell r="EO6">
            <v>0</v>
          </cell>
        </row>
      </sheetData>
      <sheetData sheetId="5730">
        <row r="6">
          <cell r="EO6">
            <v>0</v>
          </cell>
        </row>
      </sheetData>
      <sheetData sheetId="5731">
        <row r="6">
          <cell r="EO6">
            <v>0</v>
          </cell>
        </row>
      </sheetData>
      <sheetData sheetId="5732">
        <row r="6">
          <cell r="EO6">
            <v>0</v>
          </cell>
        </row>
      </sheetData>
      <sheetData sheetId="5733">
        <row r="6">
          <cell r="EO6">
            <v>0</v>
          </cell>
        </row>
      </sheetData>
      <sheetData sheetId="5734">
        <row r="6">
          <cell r="EO6">
            <v>0</v>
          </cell>
        </row>
      </sheetData>
      <sheetData sheetId="5735">
        <row r="6">
          <cell r="EO6">
            <v>0</v>
          </cell>
        </row>
      </sheetData>
      <sheetData sheetId="5736">
        <row r="6">
          <cell r="EO6">
            <v>0</v>
          </cell>
        </row>
      </sheetData>
      <sheetData sheetId="5737">
        <row r="6">
          <cell r="EO6">
            <v>0</v>
          </cell>
        </row>
      </sheetData>
      <sheetData sheetId="5738">
        <row r="6">
          <cell r="EO6">
            <v>0</v>
          </cell>
        </row>
      </sheetData>
      <sheetData sheetId="5739">
        <row r="6">
          <cell r="EO6">
            <v>0</v>
          </cell>
        </row>
      </sheetData>
      <sheetData sheetId="5740">
        <row r="6">
          <cell r="EO6">
            <v>0</v>
          </cell>
        </row>
      </sheetData>
      <sheetData sheetId="5741">
        <row r="6">
          <cell r="EO6">
            <v>0</v>
          </cell>
        </row>
      </sheetData>
      <sheetData sheetId="5742">
        <row r="6">
          <cell r="EO6">
            <v>0</v>
          </cell>
        </row>
      </sheetData>
      <sheetData sheetId="5743">
        <row r="6">
          <cell r="EO6">
            <v>0</v>
          </cell>
        </row>
      </sheetData>
      <sheetData sheetId="5744">
        <row r="6">
          <cell r="EO6">
            <v>0</v>
          </cell>
        </row>
      </sheetData>
      <sheetData sheetId="5745">
        <row r="6">
          <cell r="EO6">
            <v>0</v>
          </cell>
        </row>
      </sheetData>
      <sheetData sheetId="5746">
        <row r="6">
          <cell r="EO6">
            <v>0</v>
          </cell>
        </row>
      </sheetData>
      <sheetData sheetId="5747">
        <row r="6">
          <cell r="EO6">
            <v>0</v>
          </cell>
        </row>
      </sheetData>
      <sheetData sheetId="5748">
        <row r="6">
          <cell r="EO6">
            <v>0</v>
          </cell>
        </row>
      </sheetData>
      <sheetData sheetId="5749">
        <row r="6">
          <cell r="EO6">
            <v>0</v>
          </cell>
        </row>
      </sheetData>
      <sheetData sheetId="5750">
        <row r="6">
          <cell r="EO6">
            <v>0</v>
          </cell>
        </row>
      </sheetData>
      <sheetData sheetId="5751">
        <row r="6">
          <cell r="EO6">
            <v>0</v>
          </cell>
        </row>
      </sheetData>
      <sheetData sheetId="5752">
        <row r="6">
          <cell r="EO6">
            <v>0</v>
          </cell>
        </row>
      </sheetData>
      <sheetData sheetId="5753">
        <row r="6">
          <cell r="EO6">
            <v>0</v>
          </cell>
        </row>
      </sheetData>
      <sheetData sheetId="5754">
        <row r="6">
          <cell r="EO6">
            <v>0</v>
          </cell>
        </row>
      </sheetData>
      <sheetData sheetId="5755">
        <row r="6">
          <cell r="EO6">
            <v>0</v>
          </cell>
        </row>
      </sheetData>
      <sheetData sheetId="5756">
        <row r="6">
          <cell r="EO6">
            <v>0</v>
          </cell>
        </row>
      </sheetData>
      <sheetData sheetId="5757">
        <row r="6">
          <cell r="EO6">
            <v>0</v>
          </cell>
        </row>
      </sheetData>
      <sheetData sheetId="5758">
        <row r="6">
          <cell r="EO6">
            <v>0</v>
          </cell>
        </row>
      </sheetData>
      <sheetData sheetId="5759">
        <row r="6">
          <cell r="EO6">
            <v>0</v>
          </cell>
        </row>
      </sheetData>
      <sheetData sheetId="5760">
        <row r="6">
          <cell r="EO6">
            <v>0</v>
          </cell>
        </row>
      </sheetData>
      <sheetData sheetId="5761">
        <row r="6">
          <cell r="EO6">
            <v>0</v>
          </cell>
        </row>
      </sheetData>
      <sheetData sheetId="5762">
        <row r="6">
          <cell r="EO6">
            <v>0</v>
          </cell>
        </row>
      </sheetData>
      <sheetData sheetId="5763">
        <row r="6">
          <cell r="EO6">
            <v>0</v>
          </cell>
        </row>
      </sheetData>
      <sheetData sheetId="5764">
        <row r="6">
          <cell r="EO6">
            <v>0</v>
          </cell>
        </row>
      </sheetData>
      <sheetData sheetId="5765">
        <row r="6">
          <cell r="EO6">
            <v>0</v>
          </cell>
        </row>
      </sheetData>
      <sheetData sheetId="5766">
        <row r="6">
          <cell r="EO6">
            <v>0</v>
          </cell>
        </row>
      </sheetData>
      <sheetData sheetId="5767">
        <row r="6">
          <cell r="EO6">
            <v>0</v>
          </cell>
        </row>
      </sheetData>
      <sheetData sheetId="5768">
        <row r="6">
          <cell r="EO6">
            <v>0</v>
          </cell>
        </row>
      </sheetData>
      <sheetData sheetId="5769">
        <row r="6">
          <cell r="EO6">
            <v>0</v>
          </cell>
        </row>
      </sheetData>
      <sheetData sheetId="5770">
        <row r="6">
          <cell r="EO6">
            <v>0</v>
          </cell>
        </row>
      </sheetData>
      <sheetData sheetId="5771">
        <row r="6">
          <cell r="EO6">
            <v>0</v>
          </cell>
        </row>
      </sheetData>
      <sheetData sheetId="5772">
        <row r="6">
          <cell r="EO6">
            <v>0</v>
          </cell>
        </row>
      </sheetData>
      <sheetData sheetId="5773">
        <row r="6">
          <cell r="EO6">
            <v>0</v>
          </cell>
        </row>
      </sheetData>
      <sheetData sheetId="5774">
        <row r="6">
          <cell r="EO6">
            <v>0</v>
          </cell>
        </row>
      </sheetData>
      <sheetData sheetId="5775">
        <row r="6">
          <cell r="EO6">
            <v>0</v>
          </cell>
        </row>
      </sheetData>
      <sheetData sheetId="5776">
        <row r="6">
          <cell r="EO6">
            <v>0</v>
          </cell>
        </row>
      </sheetData>
      <sheetData sheetId="5777">
        <row r="6">
          <cell r="EO6">
            <v>0</v>
          </cell>
        </row>
      </sheetData>
      <sheetData sheetId="5778">
        <row r="6">
          <cell r="EO6">
            <v>0</v>
          </cell>
        </row>
      </sheetData>
      <sheetData sheetId="5779">
        <row r="6">
          <cell r="EO6">
            <v>0</v>
          </cell>
        </row>
      </sheetData>
      <sheetData sheetId="5780">
        <row r="6">
          <cell r="EO6">
            <v>0</v>
          </cell>
        </row>
      </sheetData>
      <sheetData sheetId="5781">
        <row r="6">
          <cell r="EO6">
            <v>0</v>
          </cell>
        </row>
      </sheetData>
      <sheetData sheetId="5782">
        <row r="6">
          <cell r="EO6">
            <v>0</v>
          </cell>
        </row>
      </sheetData>
      <sheetData sheetId="5783">
        <row r="6">
          <cell r="EO6">
            <v>0</v>
          </cell>
        </row>
      </sheetData>
      <sheetData sheetId="5784">
        <row r="6">
          <cell r="EO6">
            <v>0</v>
          </cell>
        </row>
      </sheetData>
      <sheetData sheetId="5785">
        <row r="6">
          <cell r="EO6">
            <v>0</v>
          </cell>
        </row>
      </sheetData>
      <sheetData sheetId="5786">
        <row r="6">
          <cell r="EO6">
            <v>0</v>
          </cell>
        </row>
      </sheetData>
      <sheetData sheetId="5787">
        <row r="6">
          <cell r="EO6">
            <v>0</v>
          </cell>
        </row>
      </sheetData>
      <sheetData sheetId="5788">
        <row r="6">
          <cell r="EO6">
            <v>0</v>
          </cell>
        </row>
      </sheetData>
      <sheetData sheetId="5789">
        <row r="6">
          <cell r="EO6">
            <v>0</v>
          </cell>
        </row>
      </sheetData>
      <sheetData sheetId="5790">
        <row r="6">
          <cell r="EO6">
            <v>0</v>
          </cell>
        </row>
      </sheetData>
      <sheetData sheetId="5791">
        <row r="6">
          <cell r="EO6">
            <v>0</v>
          </cell>
        </row>
      </sheetData>
      <sheetData sheetId="5792"/>
      <sheetData sheetId="5793">
        <row r="6">
          <cell r="EO6">
            <v>0</v>
          </cell>
        </row>
      </sheetData>
      <sheetData sheetId="5794"/>
      <sheetData sheetId="5795"/>
      <sheetData sheetId="5796">
        <row r="6">
          <cell r="EO6">
            <v>0</v>
          </cell>
        </row>
      </sheetData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 refreshError="1"/>
      <sheetData sheetId="10091"/>
      <sheetData sheetId="10092"/>
      <sheetData sheetId="10093"/>
      <sheetData sheetId="1009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178049A"/>
      <sheetName val="Cover "/>
      <sheetName val="Sheet1 "/>
      <sheetName val="Index "/>
      <sheetName val="Spec1 "/>
      <sheetName val="Spec ."/>
      <sheetName val="Spec.."/>
      <sheetName val="Spec,"/>
      <sheetName val="Spec "/>
      <sheetName val="Spec 6"/>
      <sheetName val="Spec7 "/>
      <sheetName val="Spec8 "/>
      <sheetName val="cutting   "/>
      <sheetName val="Punch Specification  "/>
      <sheetName val="Logo Specification"/>
      <sheetName val="Strap Specification"/>
      <sheetName val="Part &amp; Group Specification"/>
      <sheetName val="Reinf Placement"/>
      <sheetName val="Skiving instructions"/>
      <sheetName val="Pre-buffing"/>
      <sheetName val="Marking locations"/>
      <sheetName val="Folding Locations"/>
      <sheetName val="Stitching Over View"/>
      <sheetName val="stitching instructions "/>
      <sheetName val="Computer stitched"/>
      <sheetName val="Upper Molded Component Spec. "/>
      <sheetName val="Upper Molded Component Proc  "/>
      <sheetName val="Upper Measurement Spec"/>
      <sheetName val="Index (1)"/>
      <sheetName val="Cutting(1)"/>
      <sheetName val="Cutting(2)"/>
      <sheetName val="Cutting(3)"/>
      <sheetName val="Cutting(3) 3.17"/>
      <sheetName val="Cutting(4)"/>
      <sheetName val="Cutting(5)"/>
      <sheetName val="Cutting(5) 3.13"/>
      <sheetName val="Cutting(6)"/>
      <sheetName val="Cutting(6)3.17"/>
      <sheetName val="Molding Piece Schedule"/>
      <sheetName val="Perf Specification (1)"/>
      <sheetName val="Perf Specification (2)"/>
      <sheetName val="Skiving Instruction (1)"/>
      <sheetName val="Skiving Instruction (2)"/>
      <sheetName val="Skiving Instruction (3)"/>
      <sheetName val="Skiving Instruction (4)"/>
      <sheetName val="Skiving Instruction (5)"/>
      <sheetName val="Spliting Instructions"/>
      <sheetName val="Tapering Instructions"/>
      <sheetName val="Tapering Instructions 3.13"/>
      <sheetName val="Marking Location (1)"/>
      <sheetName val="Marking Location (2)"/>
      <sheetName val="Marking Location (3)"/>
      <sheetName val="Triming edge Instructions"/>
      <sheetName val="Reinforcement Placement (1)"/>
      <sheetName val="Reinforcement Placement (2)"/>
      <sheetName val="Reinforcement Placement (2)2.17"/>
      <sheetName val="Reinforcement Placement (3)"/>
      <sheetName val="Folding Location"/>
      <sheetName val="Pre-Buffing Specification"/>
      <sheetName val="Computer Stitching Schedule"/>
      <sheetName val="Stitching Overview Sketch"/>
      <sheetName val="Stitching Instructions (1)"/>
      <sheetName val="Stitching Instructions (2)"/>
      <sheetName val="Stitching Instructions (3)"/>
      <sheetName val="Stitching Instructions (4)"/>
      <sheetName val="Stitching Instructions (5)"/>
      <sheetName val="Stitching Instructions (6)"/>
      <sheetName val="Stitching Instructions (6) 3.17"/>
      <sheetName val="Stitching Instructions (7)"/>
      <sheetName val="Upper Injected Compon Pro. (1)"/>
      <sheetName val="Upper Injected Compon Pro. (2)"/>
      <sheetName val="Upper HF  Printing Welding(1)"/>
      <sheetName val="Upper HF Printing Welding(2)"/>
      <sheetName val="Upper HF Welding Process (3)"/>
      <sheetName val="Upper HF Welding Process (4)"/>
      <sheetName val="Upper HF Printing Welding (5)"/>
      <sheetName val="Upper HF Welding Process (6)"/>
      <sheetName val="Sockliner  Process"/>
      <sheetName val="Outsole Color Schedule"/>
      <sheetName val="Outsole Preform Specification"/>
      <sheetName val="Outsole Pressing Process "/>
      <sheetName val="CMP PHYLON CSS CONFIRMATION"/>
      <sheetName val="Phylon Midsole Spec."/>
      <sheetName val="Stock Fitting Process (3)"/>
      <sheetName val="BTRSS"/>
      <sheetName val="Stock Fitting Process"/>
      <sheetName val="Stock Fitting Process (2)"/>
      <sheetName val="Stock Fitting Process(3)"/>
      <sheetName val="Stock Fitting Process (4)"/>
      <sheetName val="Stock Fitting Process (5)"/>
      <sheetName val="Stock Fitting Process (6)"/>
      <sheetName val="Stock Fitting Process (7)"/>
      <sheetName val="Stockfit BPFC"/>
      <sheetName val="Stockfit BPFC (2)"/>
      <sheetName val="Assembling Process"/>
      <sheetName val="Assembling Process (2)"/>
      <sheetName val="Assembly BPFC"/>
      <sheetName val="Assembly BPFC (2)"/>
      <sheetName val="Production Checklist"/>
      <sheetName val="Sockliner Specification"/>
      <sheetName val="Upper Measurement Spec."/>
      <sheetName val="Upper Weight Control"/>
      <sheetName val="Blank Form"/>
      <sheetName val="0103"/>
      <sheetName val="5.수정데이터통합"/>
      <sheetName val="Raw Data Sheet"/>
      <sheetName val="heso"/>
      <sheetName val="assmb 1"/>
      <sheetName val="assmb 2"/>
      <sheetName val="assmb 3"/>
      <sheetName val="assmb 4"/>
      <sheetName val="assmb 5"/>
      <sheetName val="assmb 6"/>
      <sheetName val="assmb 7"/>
      <sheetName val="Cover_"/>
      <sheetName val="Sheet1_"/>
      <sheetName val="Index_"/>
      <sheetName val="Spec1_"/>
      <sheetName val="Spec__"/>
      <sheetName val="Spec__1"/>
      <sheetName val="Spec_"/>
      <sheetName val="Spec_6"/>
      <sheetName val="Spec7_"/>
      <sheetName val="Spec8_"/>
      <sheetName val="cutting___"/>
      <sheetName val="Punch_Specification__"/>
      <sheetName val="Logo_Specification"/>
      <sheetName val="Strap_Specification"/>
      <sheetName val="Part_&amp;_Group_Specification"/>
      <sheetName val="Reinf_Placement"/>
      <sheetName val="Skiving_instructions"/>
      <sheetName val="Marking_locations"/>
      <sheetName val="Folding_Locations"/>
      <sheetName val="Stitching_Over_View"/>
      <sheetName val="stitching_instructions_"/>
      <sheetName val="Computer_stitched"/>
      <sheetName val="Upper_Molded_Component_Spec__"/>
      <sheetName val="Upper_Molded_Component_Proc__"/>
      <sheetName val="Upper_Measurement_Spec"/>
      <sheetName val="Index_(1)"/>
      <sheetName val="Cutting(3)_3_17"/>
      <sheetName val="Cutting(5)_3_13"/>
      <sheetName val="Cutting(6)3_17"/>
      <sheetName val="Molding_Piece_Schedule"/>
      <sheetName val="Perf_Specification_(1)"/>
      <sheetName val="Perf_Specification_(2)"/>
      <sheetName val="Skiving_Instruction_(1)"/>
      <sheetName val="Skiving_Instruction_(2)"/>
      <sheetName val="Skiving_Instruction_(3)"/>
      <sheetName val="Skiving_Instruction_(4)"/>
      <sheetName val="Skiving_Instruction_(5)"/>
      <sheetName val="Spliting_Instructions"/>
      <sheetName val="Tapering_Instructions"/>
      <sheetName val="Tapering_Instructions_3_13"/>
      <sheetName val="Marking_Location_(1)"/>
      <sheetName val="Marking_Location_(2)"/>
      <sheetName val="Marking_Location_(3)"/>
      <sheetName val="Triming_edge_Instructions"/>
      <sheetName val="Reinforcement_Placement_(1)"/>
      <sheetName val="Reinforcement_Placement_(2)"/>
      <sheetName val="Reinforcement_Placement_(2)2_17"/>
      <sheetName val="Reinforcement_Placement_(3)"/>
      <sheetName val="Folding_Location"/>
      <sheetName val="Pre-Buffing_Specification"/>
      <sheetName val="Computer_Stitching_Schedule"/>
      <sheetName val="Stitching_Overview_Sketch"/>
      <sheetName val="Stitching_Instructions_(1)"/>
      <sheetName val="Stitching_Instructions_(2)"/>
      <sheetName val="Stitching_Instructions_(3)"/>
      <sheetName val="Stitching_Instructions_(4)"/>
      <sheetName val="Stitching_Instructions_(5)"/>
      <sheetName val="Stitching_Instructions_(6)"/>
      <sheetName val="Stitching_Instructions_(6)_3_17"/>
      <sheetName val="Stitching_Instructions_(7)"/>
      <sheetName val="Upper_Injected_Compon_Pro__(1)"/>
      <sheetName val="Upper_Injected_Compon_Pro__(2)"/>
      <sheetName val="Upper_HF__Printing_Welding(1)"/>
      <sheetName val="Upper_HF_Printing_Welding(2)"/>
      <sheetName val="Upper_HF_Welding_Process_(3)"/>
      <sheetName val="Upper_HF_Welding_Process_(4)"/>
      <sheetName val="Upper_HF_Printing_Welding_(5)"/>
      <sheetName val="Upper_HF_Welding_Process_(6)"/>
      <sheetName val="Sockliner__Process"/>
      <sheetName val="Outsole_Color_Schedule"/>
      <sheetName val="Outsole_Preform_Specification"/>
      <sheetName val="Outsole_Pressing_Process_"/>
      <sheetName val="CMP_PHYLON_CSS_CONFIRMATION"/>
      <sheetName val="Phylon_Midsole_Spec_"/>
      <sheetName val="Stock_Fitting_Process_(3)"/>
      <sheetName val="Stock_Fitting_Process"/>
      <sheetName val="Stock_Fitting_Process_(2)"/>
      <sheetName val="Stock_Fitting_Process(3)"/>
      <sheetName val="Stock_Fitting_Process_(4)"/>
      <sheetName val="Stock_Fitting_Process_(5)"/>
      <sheetName val="Stock_Fitting_Process_(6)"/>
      <sheetName val="Stock_Fitting_Process_(7)"/>
      <sheetName val="Stockfit_BPFC"/>
      <sheetName val="Stockfit_BPFC_(2)"/>
      <sheetName val="Assembling_Process"/>
      <sheetName val="Assembling_Process_(2)"/>
      <sheetName val="Assembly_BPFC"/>
      <sheetName val="Assembly_BPFC_(2)"/>
      <sheetName val="Production_Checklist"/>
      <sheetName val="Sockliner_Specification"/>
      <sheetName val="Upper_Measurement_Spec_"/>
      <sheetName val="Upper_Weight_Control"/>
      <sheetName val="Blank_Form"/>
      <sheetName val="assmb_1"/>
      <sheetName val="assmb_2"/>
      <sheetName val="assmb_3"/>
      <sheetName val="assmb_4"/>
      <sheetName val="assmb_5"/>
      <sheetName val="assmb_6"/>
      <sheetName val="assmb_7"/>
      <sheetName val="Cover_1"/>
      <sheetName val="Sheet1_1"/>
      <sheetName val="Index_1"/>
      <sheetName val="Spec1_1"/>
      <sheetName val="Spec__2"/>
      <sheetName val="Spec__3"/>
      <sheetName val="Spec_1"/>
      <sheetName val="Spec_61"/>
      <sheetName val="Spec7_1"/>
      <sheetName val="Spec8_1"/>
      <sheetName val="cutting___1"/>
      <sheetName val="Punch_Specification__1"/>
      <sheetName val="Logo_Specification1"/>
      <sheetName val="Strap_Specification1"/>
      <sheetName val="Part_&amp;_Group_Specification1"/>
      <sheetName val="Reinf_Placement1"/>
      <sheetName val="Skiving_instructions1"/>
      <sheetName val="Marking_locations1"/>
      <sheetName val="Folding_Locations1"/>
      <sheetName val="Stitching_Over_View1"/>
      <sheetName val="stitching_instructions_1"/>
      <sheetName val="Computer_stitched1"/>
      <sheetName val="Upper_Molded_Component_Spec__1"/>
      <sheetName val="Upper_Molded_Component_Proc__1"/>
      <sheetName val="Upper_Measurement_Spec1"/>
      <sheetName val="Index_(1)1"/>
      <sheetName val="Cutting(3)_3_171"/>
      <sheetName val="Cutting(5)_3_131"/>
      <sheetName val="Cutting(6)3_171"/>
      <sheetName val="Molding_Piece_Schedule1"/>
      <sheetName val="Perf_Specification_(1)1"/>
      <sheetName val="Perf_Specification_(2)1"/>
      <sheetName val="Skiving_Instruction_(1)1"/>
      <sheetName val="Skiving_Instruction_(2)1"/>
      <sheetName val="Skiving_Instruction_(3)1"/>
      <sheetName val="Skiving_Instruction_(4)1"/>
      <sheetName val="Skiving_Instruction_(5)1"/>
      <sheetName val="Spliting_Instructions1"/>
      <sheetName val="Tapering_Instructions1"/>
      <sheetName val="Tapering_Instructions_3_131"/>
      <sheetName val="Marking_Location_(1)1"/>
      <sheetName val="Marking_Location_(2)1"/>
      <sheetName val="Marking_Location_(3)1"/>
      <sheetName val="Triming_edge_Instructions1"/>
      <sheetName val="Reinforcement_Placement_(1)1"/>
      <sheetName val="Reinforcement_Placement_(2)1"/>
      <sheetName val="Reinforcement_Placement_(2)2_11"/>
      <sheetName val="Reinforcement_Placement_(3)1"/>
      <sheetName val="Folding_Location1"/>
      <sheetName val="Pre-Buffing_Specification1"/>
      <sheetName val="Computer_Stitching_Schedule1"/>
      <sheetName val="Stitching_Overview_Sketch1"/>
      <sheetName val="Stitching_Instructions_(1)1"/>
      <sheetName val="Stitching_Instructions_(2)1"/>
      <sheetName val="Stitching_Instructions_(3)1"/>
      <sheetName val="Stitching_Instructions_(4)1"/>
      <sheetName val="Stitching_Instructions_(5)1"/>
      <sheetName val="Stitching_Instructions_(6)1"/>
      <sheetName val="Stitching_Instructions_(6)_3_11"/>
      <sheetName val="Stitching_Instructions_(7)1"/>
      <sheetName val="Upper_Injected_Compon_Pro__(1)1"/>
      <sheetName val="Upper_Injected_Compon_Pro__(2)1"/>
      <sheetName val="Upper_HF__Printing_Welding(1)1"/>
      <sheetName val="Upper_HF_Printing_Welding(2)1"/>
      <sheetName val="Upper_HF_Welding_Process_(3)1"/>
      <sheetName val="Upper_HF_Welding_Process_(4)1"/>
      <sheetName val="Upper_HF_Printing_Welding_(5)1"/>
      <sheetName val="Upper_HF_Welding_Process_(6)1"/>
      <sheetName val="Sockliner__Process1"/>
      <sheetName val="Outsole_Color_Schedule1"/>
      <sheetName val="Outsole_Preform_Specification1"/>
      <sheetName val="Outsole_Pressing_Process_1"/>
      <sheetName val="CMP_PHYLON_CSS_CONFIRMATION1"/>
      <sheetName val="Phylon_Midsole_Spec_1"/>
      <sheetName val="Stock_Fitting_Process_(3)1"/>
      <sheetName val="Stock_Fitting_Process1"/>
      <sheetName val="Stock_Fitting_Process_(2)1"/>
      <sheetName val="Stock_Fitting_Process(3)1"/>
      <sheetName val="Stock_Fitting_Process_(4)1"/>
      <sheetName val="Stock_Fitting_Process_(5)1"/>
      <sheetName val="Stock_Fitting_Process_(6)1"/>
      <sheetName val="Stock_Fitting_Process_(7)1"/>
      <sheetName val="Stockfit_BPFC1"/>
      <sheetName val="Stockfit_BPFC_(2)1"/>
      <sheetName val="Assembling_Process1"/>
      <sheetName val="Assembling_Process_(2)1"/>
      <sheetName val="Assembly_BPFC1"/>
      <sheetName val="Assembly_BPFC_(2)1"/>
      <sheetName val="Production_Checklist1"/>
      <sheetName val="Sockliner_Specification1"/>
      <sheetName val="Upper_Measurement_Spec_1"/>
      <sheetName val="Upper_Weight_Control1"/>
      <sheetName val="Blank_Form1"/>
      <sheetName val="assmb_11"/>
      <sheetName val="assmb_21"/>
      <sheetName val="assmb_31"/>
      <sheetName val="assmb_41"/>
      <sheetName val="assmb_51"/>
      <sheetName val="assmb_61"/>
      <sheetName val="assmb_71"/>
      <sheetName val="PERCELL"/>
      <sheetName val="Materials"/>
      <sheetName val="#REF"/>
      <sheetName val="표2"/>
      <sheetName val="Score%"/>
      <sheetName val="5_수정데이터통합"/>
      <sheetName val="Raw_Data_Sheet"/>
      <sheetName val="Sheet1"/>
      <sheetName val="SHOX REMID II"/>
      <sheetName val="BOLD SISTER-STRONG SISTER -TOR6"/>
      <sheetName val="SPRAY (A MX PLUS)"/>
      <sheetName val="제조공정도5"/>
      <sheetName val="PU "/>
      <sheetName val="3.I-Prefit Stitching"/>
      <sheetName val="IBASE"/>
      <sheetName val="Upper Measureme_x0000_9!_x0000_6_x000f_pv"/>
      <sheetName val="_x0000_`"/>
      <sheetName val="Cut Model 411 020413"/>
      <sheetName val="MESIN"/>
      <sheetName val="DWPM"/>
      <sheetName val="Cutting Dies "/>
      <sheetName val="Sum"/>
      <sheetName val="MODEL SHOX TURBO OZ (PS+TD)"/>
      <sheetName val="Culture of Empowerment"/>
      <sheetName val="A.TERRA"/>
      <sheetName val="79"/>
      <sheetName val="FA-HO11 Feb 2010"/>
      <sheetName val="178049A.XLS"/>
      <sheetName val="PFC Revice"/>
      <sheetName val="Cutting Die (1)"/>
      <sheetName val="Cutting Die (2)"/>
      <sheetName val="Cutting Die (3)"/>
      <sheetName val="Perf Specification"/>
      <sheetName val="Marking Location"/>
      <sheetName val="Marking Locations (2)"/>
      <sheetName val="Spliting "/>
      <sheetName val="Reinf. Placement (1)"/>
      <sheetName val="Reinf. Placement (2)"/>
      <sheetName val="Computer Stitching "/>
      <sheetName val="Upper Molded Component Spec."/>
      <sheetName val="PHYLON CSS"/>
      <sheetName val="PHYLON CSS SCHEDULES"/>
      <sheetName val="PHYLON CSS CONFIRMATION"/>
      <sheetName val="Outsole Color "/>
      <sheetName val="Outsole Preform Specifications"/>
      <sheetName val="Outsole Pressing Process"/>
      <sheetName val="Outsole Degreasing Process "/>
      <sheetName val="Stockfit'MS"/>
      <sheetName val="Stock Fiting UV-Light Proce "/>
      <sheetName val="Stock Fiting Process "/>
      <sheetName val="IY 06.07"/>
      <sheetName val="Assembly UV-Light Process. "/>
      <sheetName val="Assembly Process.6,7 "/>
      <sheetName val="Assembly Process.6,7"/>
      <sheetName val="IY08.09.10"/>
      <sheetName val="Assembly Process.8,9,10 "/>
      <sheetName val="Assembly Process.8,9,10 (2.)"/>
      <sheetName val="Back Part Moulding (Soccer TPR)"/>
      <sheetName val="Ecosole Instructions "/>
      <sheetName val="Sockliner Instructions"/>
      <sheetName val="Sock Liner Spec."/>
      <sheetName val="Sheet2"/>
      <sheetName val="Sheet3"/>
      <sheetName val=" (6,7)"/>
      <sheetName val="Upper Measureme?9!?6_x000f_pv"/>
      <sheetName val="?`"/>
      <sheetName val="Upper Measureme"/>
      <sheetName val=""/>
      <sheetName val="(8,9,10)"/>
      <sheetName val="Trim &amp; Edge-painting"/>
      <sheetName val="Reinforcement Placement"/>
      <sheetName val="Upper Laser Process- Spec."/>
      <sheetName val="Upper Laser Process-Spec (2)."/>
      <sheetName val="Upper Laser Process-Spec. (3)"/>
      <sheetName val="PU CSS CONFIRMATION"/>
      <sheetName val="PU CSS Schedules"/>
      <sheetName val="PU Midsole Spec.I"/>
      <sheetName val="Stock Fitting Process (8)"/>
      <sheetName val="Stock Fitting Process "/>
      <sheetName val="製造流程說明書"/>
      <sheetName val="索引 (1)"/>
      <sheetName val="斬刀說明(1)"/>
      <sheetName val="斬刀說明(2)"/>
      <sheetName val="斬刀說明(3)"/>
      <sheetName val="斬刀說明(4)"/>
      <sheetName val="沖孔規格說明"/>
      <sheetName val="沖孔規格說明 (2)"/>
      <sheetName val="商標說明"/>
      <sheetName val="織帶規格說明"/>
      <sheetName val=" 削薄處指示說明"/>
      <sheetName val=" 削薄處指示說明 (2)"/>
      <sheetName val=" 削薄處指示說明 (3)"/>
      <sheetName val=" 削薄處指示說明 (4)"/>
      <sheetName val=" 削薄處指示說明 (5)"/>
      <sheetName val="倒角指示說明"/>
      <sheetName val="劃線印刷指示說明"/>
      <sheetName val="劃線印刷指示說明 (2)"/>
      <sheetName val="劃線印刷指示說明 (3)"/>
      <sheetName val="打粗指示"/>
      <sheetName val="補強位置說明"/>
      <sheetName val="補強位置說明(2)"/>
      <sheetName val="折邊指示說明 "/>
      <sheetName val="電腦針車部位指示說明"/>
      <sheetName val="預備組流程"/>
      <sheetName val="針車鞋面完成草圖"/>
      <sheetName val="針車流程(1)"/>
      <sheetName val="針車流程 (2)"/>
      <sheetName val="針車流程 (3)"/>
      <sheetName val="針車流程 (4)"/>
      <sheetName val="針車流程 (5)"/>
      <sheetName val="針車流程 (6)"/>
      <sheetName val="鞋面射出部位作業流程"/>
      <sheetName val=" 鞋面印刷作業流程"/>
      <sheetName val=" 鞋面高週波作業流程 (2)"/>
      <sheetName val="  鞋墊作業流程"/>
      <sheetName val="鞋墊製作規格"/>
      <sheetName val="鞋面相關距離測量"/>
      <sheetName val="Cover 313845-102((259.) (2)"/>
      <sheetName val="SOP"/>
      <sheetName val="Logo Specification (2)"/>
      <sheetName val="Screen Printing (4)"/>
      <sheetName val="Upper HF Welding Process(5)"/>
      <sheetName val="Index (3)"/>
      <sheetName val="Bottom Component Process Spec."/>
      <sheetName val="Assembling Process (3)"/>
      <sheetName val="Sockliner Sublimation Process"/>
      <sheetName val="Cutting D)e (1)"/>
      <sheetName val="Cutting D)e (2)"/>
      <sheetName val="Cutting D)e (3)"/>
      <sheetName val="Stitching Instructio.s (3)"/>
      <sheetName val="DG3285"/>
      <sheetName val="SHOX NAVINA , SHOX REVEAL"/>
      <sheetName val="Spray Tower Machine"/>
      <sheetName val="Sheet1 (2)"/>
      <sheetName val="PFC_Revice"/>
      <sheetName val="Cutting_Die_(1)"/>
      <sheetName val="Cutting_Die_(2)"/>
      <sheetName val="Cutting_Die_(3)"/>
      <sheetName val="Perf_Specification"/>
      <sheetName val="Marking_Location"/>
      <sheetName val="Marking_Locations_(2)"/>
      <sheetName val="Spliting_"/>
      <sheetName val="Reinf__Placement_(1)"/>
      <sheetName val="Reinf__Placement_(2)"/>
      <sheetName val="Computer_Stitching_"/>
      <sheetName val="Upper_Molded_Component_Spec_"/>
      <sheetName val="PHYLON_CSS"/>
      <sheetName val="PHYLON_CSS_SCHEDULES"/>
      <sheetName val="PHYLON_CSS_CONFIRMATION"/>
      <sheetName val="Outsole_Color_"/>
      <sheetName val="Outsole_Preform_Specifications"/>
      <sheetName val="Outsole_Pressing_Process"/>
      <sheetName val="Outsole_Degreasing_Process_"/>
      <sheetName val="Stock_Fiting_UV-Light_Proce_"/>
      <sheetName val="Stock_Fiting_Process_"/>
      <sheetName val="IY_06_07"/>
      <sheetName val="Assembly_UV-Light_Process__"/>
      <sheetName val="Assembly_Process_6,7_"/>
      <sheetName val="Assembly_Process_6,7"/>
      <sheetName val="IY08_09_10"/>
      <sheetName val="Assembly_Process_8,9,10_"/>
      <sheetName val="Assembly_Process_8,9,10_(2_)"/>
      <sheetName val="Back_Part_Moulding_(Soccer_TPR)"/>
      <sheetName val="Ecosole_Instructions_"/>
      <sheetName val="Sockliner_Instructions"/>
      <sheetName val="Sock_Liner_Spec_"/>
      <sheetName val="_(6,7)"/>
      <sheetName val="Trim_&amp;_Edge-painting"/>
      <sheetName val="Reinforcement_Placement"/>
      <sheetName val="Upper_Laser_Process-_Spec_"/>
      <sheetName val="Upper_Laser_Process-Spec_(2)_"/>
      <sheetName val="Upper_Laser_Process-Spec__(3)"/>
      <sheetName val="PU_CSS_CONFIRMATION"/>
      <sheetName val="PU_CSS_Schedules"/>
      <sheetName val="PU_Midsole_Spec_I"/>
      <sheetName val="Stock_Fitting_Process_(8)"/>
      <sheetName val="Stock_Fitting_Process_"/>
      <sheetName val="索引_(1)"/>
      <sheetName val="沖孔規格說明_(2)"/>
      <sheetName val="_削薄處指示說明"/>
      <sheetName val="_削薄處指示說明_(2)"/>
      <sheetName val="_削薄處指示說明_(3)"/>
      <sheetName val="_削薄處指示說明_(4)"/>
      <sheetName val="_削薄處指示說明_(5)"/>
      <sheetName val="劃線印刷指示說明_(2)"/>
      <sheetName val="劃線印刷指示說明_(3)"/>
      <sheetName val="折邊指示說明_"/>
      <sheetName val="針車流程_(2)"/>
      <sheetName val="針車流程_(3)"/>
      <sheetName val="針車流程_(4)"/>
      <sheetName val="針車流程_(5)"/>
      <sheetName val="針車流程_(6)"/>
      <sheetName val="_鞋面印刷作業流程"/>
      <sheetName val="_鞋面高週波作業流程_(2)"/>
      <sheetName val="__鞋墊作業流程"/>
      <sheetName val="Cover_313845-102((259_)_(2)"/>
      <sheetName val="Logo_Specification_(2)"/>
      <sheetName val="Screen_Printing_(4)"/>
      <sheetName val="Upper_HF_Welding_Process(5)"/>
      <sheetName val="Index_(3)"/>
      <sheetName val="Bottom_Component_Process_Spec_"/>
      <sheetName val="Assembling_Process_(3)"/>
      <sheetName val="Sockliner_Sublimation_Process"/>
      <sheetName val="Cutting_D)e_(1)"/>
      <sheetName val="Cutting_D)e_(2)"/>
      <sheetName val="Cutting_D)e_(3)"/>
      <sheetName val="Stitching_Instructio_s_(3)"/>
      <sheetName val="PFC_Revice1"/>
      <sheetName val="Cutting_Die_(1)1"/>
      <sheetName val="Cutting_Die_(2)1"/>
      <sheetName val="Cutting_Die_(3)1"/>
      <sheetName val="Perf_Specification1"/>
      <sheetName val="Marking_Location1"/>
      <sheetName val="Marking_Locations_(2)1"/>
      <sheetName val="Spliting_1"/>
      <sheetName val="Reinf__Placement_(1)1"/>
      <sheetName val="Reinf__Placement_(2)1"/>
      <sheetName val="Computer_Stitching_1"/>
      <sheetName val="Upper_Molded_Component_Spec_1"/>
      <sheetName val="PHYLON_CSS1"/>
      <sheetName val="PHYLON_CSS_SCHEDULES1"/>
      <sheetName val="PHYLON_CSS_CONFIRMATION1"/>
      <sheetName val="Outsole_Color_1"/>
      <sheetName val="Outsole_Preform_Specifications1"/>
      <sheetName val="Outsole_Pressing_Process1"/>
      <sheetName val="Outsole_Degreasing_Process_1"/>
      <sheetName val="Stock_Fiting_UV-Light_Proce_1"/>
      <sheetName val="Stock_Fiting_Process_1"/>
      <sheetName val="IY_06_071"/>
      <sheetName val="Assembly_UV-Light_Process__1"/>
      <sheetName val="Assembly_Process_6,7_1"/>
      <sheetName val="Assembly_Process_6,71"/>
      <sheetName val="IY08_09_101"/>
      <sheetName val="Assembly_Process_8,9,10_1"/>
      <sheetName val="Assembly_Process_8,9,10_(2_)1"/>
      <sheetName val="Back_Part_Moulding_(Soccer_TPR1"/>
      <sheetName val="Ecosole_Instructions_1"/>
      <sheetName val="Sockliner_Instructions1"/>
      <sheetName val="Sock_Liner_Spec_1"/>
      <sheetName val="_(6,7)1"/>
      <sheetName val="Trim_&amp;_Edge-painting1"/>
      <sheetName val="Reinforcement_Placement1"/>
      <sheetName val="Upper_Laser_Process-_Spec_1"/>
      <sheetName val="Upper_Laser_Process-Spec_(2)_1"/>
      <sheetName val="Upper_Laser_Process-Spec__(3)1"/>
      <sheetName val="Cover (2)"/>
      <sheetName val=" Cutting(1) "/>
      <sheetName val=" Cutting  (2)"/>
      <sheetName val=" Cutting  (3)"/>
      <sheetName val=" Cutting  (4)"/>
      <sheetName val=" Cutting  (5)"/>
      <sheetName val="Reinf Placement (2)"/>
      <sheetName val="Skiving Instructions (2)"/>
      <sheetName val="Skiving Instruction3"/>
      <sheetName val="Pre-Buffing (2)"/>
      <sheetName val="Tongue Label"/>
      <sheetName val="Stitching Instructions(1)"/>
      <sheetName val="Stitching Instructions(2)"/>
      <sheetName val="Stitching Instructions(3)"/>
      <sheetName val="Stitching Instructions(4)"/>
      <sheetName val="Stitching Instructions(5)"/>
      <sheetName val="Stitching Instructions(6)"/>
      <sheetName val="H.F. Welding Proc"/>
      <sheetName val="TPU CLEANING&amp;SCREEN PRINT "/>
      <sheetName val="당월(1)"/>
      <sheetName val="TABLE OF CONTENTS"/>
      <sheetName val="PU_CSS_CONFIRMATION1"/>
      <sheetName val="PU_CSS_Schedules1"/>
      <sheetName val="PU_Midsole_Spec_I1"/>
      <sheetName val="Stock_Fitting_Process_(8)1"/>
      <sheetName val="2c"/>
      <sheetName val="5d"/>
      <sheetName val="6c"/>
      <sheetName val="Dispenser"/>
      <sheetName val="5a"/>
      <sheetName val="Dispenser Ruang Classic"/>
      <sheetName val="3d"/>
      <sheetName val="2b"/>
      <sheetName val="Stock Fitting @_x001b__x000c__x0000__x0000__x0000__x0000__x0000__x0001__x0000__x0000_"/>
      <sheetName val="Stockfit"/>
      <sheetName val="Stock Fitting @_x001b__x000c_"/>
      <sheetName val="gVL"/>
      <sheetName val="신규DEP"/>
      <sheetName val="Vietnam Report"/>
      <sheetName val="2.대외공문"/>
      <sheetName val="#REF!"/>
      <sheetName val="SPM (Cutting&amp;Pre)"/>
      <sheetName val="MAY"/>
      <sheetName val="SHOX_REMID_II"/>
      <sheetName val="87"/>
      <sheetName val="Flow Chart "/>
      <sheetName val="ENG"/>
      <sheetName val="tc"/>
      <sheetName val="Stock Fitting @_x001b__x000c_?????_x0001_??"/>
      <sheetName val="Stock Fitting @_x005f_x001b__x005f_x000c__x"/>
      <sheetName val="Stock Fitting @_x005f_x001b__x005f_x000c_"/>
      <sheetName val="SPRAY_(A_MX_PLUS)"/>
      <sheetName val="BOLD_SISTER-STRONG_SISTER_-TOR6"/>
      <sheetName val="SHOX_NAVINA_,_SHOX_REVEAL"/>
      <sheetName val="MODEL_SHOX_TURBO_OZ_(PS+TD)"/>
      <sheetName val="89"/>
      <sheetName val="PIDATA"/>
      <sheetName val="DTCT"/>
      <sheetName val="XL4Poppy"/>
      <sheetName val="Stitching Instruction  (2)"/>
      <sheetName val="Skiving Instructions "/>
      <sheetName val="Key Manufacturing Details (1)"/>
      <sheetName val="월별 부하운영 계획  (3)"/>
      <sheetName val="Mold Efficiency Form"/>
      <sheetName val="NAME"/>
      <sheetName val="Material name"/>
      <sheetName val="96-GS-C2"/>
      <sheetName val="청도"/>
      <sheetName val="SPEC"/>
      <sheetName val="Lamination Process"/>
    </sheetNames>
    <definedNames>
      <definedName name="直線55_Click" refersTo="#REF!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W101"/>
  <sheetViews>
    <sheetView showGridLines="0" tabSelected="1" topLeftCell="A16" zoomScale="70" zoomScaleNormal="70" workbookViewId="0">
      <selection activeCell="EW74" sqref="EW74"/>
    </sheetView>
  </sheetViews>
  <sheetFormatPr defaultRowHeight="15" x14ac:dyDescent="0.25"/>
  <cols>
    <col min="1" max="1" width="1.5703125" customWidth="1"/>
    <col min="2" max="3" width="26" customWidth="1"/>
    <col min="4" max="4" width="10.7109375" customWidth="1"/>
    <col min="5" max="5" width="10" customWidth="1"/>
    <col min="6" max="6" width="10.140625" customWidth="1"/>
    <col min="7" max="7" width="27.28515625" customWidth="1"/>
    <col min="8" max="8" width="6.7109375" hidden="1" customWidth="1"/>
    <col min="9" max="9" width="7.7109375" hidden="1" customWidth="1"/>
    <col min="10" max="30" width="6.7109375" hidden="1" customWidth="1"/>
    <col min="31" max="31" width="7.7109375" hidden="1" customWidth="1"/>
    <col min="32" max="59" width="6.7109375" hidden="1" customWidth="1"/>
    <col min="60" max="60" width="7.7109375" hidden="1" customWidth="1"/>
    <col min="61" max="67" width="6.7109375" hidden="1" customWidth="1"/>
    <col min="68" max="81" width="6.7109375" customWidth="1"/>
    <col min="82" max="82" width="7.7109375" customWidth="1"/>
    <col min="83" max="89" width="6.7109375" customWidth="1"/>
    <col min="90" max="112" width="6.7109375" hidden="1" customWidth="1"/>
    <col min="113" max="113" width="6.85546875" hidden="1" customWidth="1"/>
    <col min="114" max="133" width="9.140625" hidden="1" customWidth="1"/>
    <col min="150" max="150" width="2.140625" customWidth="1"/>
  </cols>
  <sheetData>
    <row r="1" spans="1:153" ht="15.75" customHeight="1" x14ac:dyDescent="1.1000000000000001"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6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5"/>
      <c r="CD1" s="75"/>
      <c r="CE1" s="75"/>
      <c r="CF1" s="75"/>
      <c r="CG1" s="75"/>
      <c r="CH1" s="75"/>
      <c r="CI1" s="75"/>
      <c r="CJ1" s="75"/>
      <c r="CK1" s="75"/>
      <c r="CL1" s="75"/>
      <c r="CM1" s="75"/>
      <c r="CN1" s="75"/>
      <c r="CO1" s="75"/>
      <c r="CP1" s="75"/>
      <c r="CQ1" s="75"/>
      <c r="CR1" s="75"/>
      <c r="CS1" s="75"/>
      <c r="CT1" s="75"/>
      <c r="CU1" s="76"/>
      <c r="CV1" s="77"/>
      <c r="CW1" s="77"/>
      <c r="CX1" s="77"/>
      <c r="CY1" s="77"/>
      <c r="CZ1" s="77"/>
      <c r="DA1" s="77"/>
      <c r="DB1" s="77"/>
      <c r="DC1" s="77"/>
      <c r="DD1" s="77"/>
      <c r="DE1" s="77"/>
      <c r="DF1" s="77"/>
      <c r="DG1" s="77"/>
      <c r="DH1" s="77"/>
      <c r="DI1" s="73"/>
    </row>
    <row r="2" spans="1:153" ht="12.75" customHeight="1" x14ac:dyDescent="0.3">
      <c r="A2" t="s">
        <v>92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8"/>
      <c r="BH2" s="78"/>
      <c r="BI2" s="78"/>
      <c r="BJ2" s="78"/>
      <c r="BK2" s="78"/>
      <c r="BL2" s="78"/>
      <c r="BM2" s="78"/>
      <c r="BN2" s="78"/>
      <c r="BO2" s="78"/>
      <c r="BP2" s="78"/>
      <c r="BQ2" s="78"/>
      <c r="BR2" s="78"/>
      <c r="BS2" s="78"/>
      <c r="BT2" s="78"/>
      <c r="BU2" s="78"/>
      <c r="BV2" s="78"/>
      <c r="BW2" s="78"/>
      <c r="BX2" s="78"/>
      <c r="BY2" s="78"/>
      <c r="BZ2" s="78"/>
      <c r="CA2" s="78"/>
      <c r="CB2" s="78"/>
      <c r="CC2" s="75"/>
      <c r="CD2" s="75"/>
      <c r="CE2" s="75"/>
      <c r="CF2" s="75"/>
      <c r="CG2" s="75"/>
      <c r="CH2" s="75"/>
      <c r="CI2" s="75"/>
      <c r="CJ2" s="75"/>
      <c r="CK2" s="75"/>
      <c r="CL2" s="75"/>
      <c r="CM2" s="75"/>
      <c r="CN2" s="75"/>
      <c r="CO2" s="75"/>
      <c r="CP2" s="75"/>
      <c r="CQ2" s="75"/>
      <c r="CR2" s="75"/>
      <c r="CS2" s="75"/>
      <c r="CT2" s="75"/>
      <c r="CU2" s="77"/>
      <c r="CV2" s="77"/>
      <c r="CW2" s="77"/>
      <c r="CX2" s="77"/>
      <c r="CY2" s="77"/>
      <c r="CZ2" s="77"/>
      <c r="DA2" s="77"/>
      <c r="DB2" s="77"/>
      <c r="DC2" s="77"/>
      <c r="DD2" s="77"/>
      <c r="DE2" s="77"/>
      <c r="DF2" s="77"/>
      <c r="DG2" s="77"/>
      <c r="DH2" s="77"/>
      <c r="DI2" s="73"/>
    </row>
    <row r="3" spans="1:153" ht="21" customHeight="1" x14ac:dyDescent="0.25">
      <c r="A3" s="54"/>
      <c r="B3" s="248" t="s">
        <v>31</v>
      </c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49"/>
      <c r="AV3" s="249"/>
      <c r="AW3" s="249"/>
      <c r="AX3" s="249"/>
      <c r="AY3" s="249"/>
      <c r="AZ3" s="249"/>
      <c r="BA3" s="249"/>
      <c r="BB3" s="249"/>
      <c r="BC3" s="249"/>
      <c r="BD3" s="249"/>
      <c r="BE3" s="249"/>
      <c r="BF3" s="249"/>
      <c r="BG3" s="249"/>
      <c r="BH3" s="249"/>
      <c r="BI3" s="249"/>
      <c r="BJ3" s="249"/>
      <c r="BK3" s="249"/>
      <c r="BL3" s="249"/>
      <c r="BM3" s="249"/>
      <c r="BN3" s="249"/>
      <c r="BO3" s="249"/>
      <c r="BP3" s="249"/>
      <c r="BQ3" s="249"/>
      <c r="BR3" s="249"/>
      <c r="BS3" s="249"/>
      <c r="BT3" s="249"/>
      <c r="BU3" s="249"/>
      <c r="BV3" s="249"/>
      <c r="BW3" s="249"/>
      <c r="BX3" s="249"/>
      <c r="BY3" s="249"/>
      <c r="BZ3" s="249"/>
      <c r="CA3" s="249"/>
      <c r="CB3" s="249"/>
      <c r="CC3" s="249"/>
      <c r="CD3" s="249"/>
      <c r="CE3" s="249"/>
      <c r="CF3" s="249"/>
      <c r="CG3" s="249"/>
      <c r="CH3" s="249"/>
      <c r="CI3" s="249"/>
      <c r="CJ3" s="249"/>
      <c r="CK3" s="249"/>
      <c r="CL3" s="249"/>
      <c r="CM3" s="249"/>
      <c r="CN3" s="249"/>
      <c r="CO3" s="249"/>
      <c r="CP3" s="249"/>
      <c r="CQ3" s="249"/>
      <c r="CR3" s="249"/>
      <c r="CS3" s="249"/>
      <c r="CT3" s="249"/>
      <c r="CU3" s="249"/>
      <c r="CV3" s="249"/>
      <c r="CW3" s="249"/>
      <c r="CX3" s="249"/>
      <c r="CY3" s="249"/>
      <c r="CZ3" s="249"/>
      <c r="DA3" s="249"/>
      <c r="DB3" s="249"/>
      <c r="DC3" s="249"/>
      <c r="DD3" s="249"/>
      <c r="DE3" s="249"/>
      <c r="DF3" s="249"/>
      <c r="DG3" s="249"/>
      <c r="DH3" s="249"/>
      <c r="DI3" s="249"/>
      <c r="DJ3" s="249"/>
      <c r="DK3" s="249"/>
      <c r="DL3" s="249"/>
      <c r="DM3" s="249"/>
      <c r="DN3" s="249"/>
      <c r="DO3" s="249"/>
      <c r="DP3" s="249"/>
      <c r="DQ3" s="249"/>
      <c r="DR3" s="249"/>
      <c r="DS3" s="249"/>
      <c r="DT3" s="249"/>
      <c r="DU3" s="249"/>
      <c r="DV3" s="249"/>
      <c r="DW3" s="249"/>
      <c r="DX3" s="249"/>
      <c r="DY3" s="249"/>
      <c r="DZ3" s="249"/>
      <c r="EA3" s="249"/>
      <c r="EB3" s="249"/>
      <c r="EC3" s="250"/>
      <c r="ED3" s="110"/>
    </row>
    <row r="4" spans="1:153" s="2" customFormat="1" ht="18" customHeight="1" x14ac:dyDescent="0.2">
      <c r="A4" s="53"/>
      <c r="B4" s="251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52"/>
      <c r="AH4" s="252"/>
      <c r="AI4" s="252"/>
      <c r="AJ4" s="252"/>
      <c r="AK4" s="252"/>
      <c r="AL4" s="252"/>
      <c r="AM4" s="252"/>
      <c r="AN4" s="252"/>
      <c r="AO4" s="252"/>
      <c r="AP4" s="252"/>
      <c r="AQ4" s="252"/>
      <c r="AR4" s="252"/>
      <c r="AS4" s="252"/>
      <c r="AT4" s="252"/>
      <c r="AU4" s="252"/>
      <c r="AV4" s="252"/>
      <c r="AW4" s="252"/>
      <c r="AX4" s="252"/>
      <c r="AY4" s="252"/>
      <c r="AZ4" s="252"/>
      <c r="BA4" s="252"/>
      <c r="BB4" s="252"/>
      <c r="BC4" s="252"/>
      <c r="BD4" s="252"/>
      <c r="BE4" s="252"/>
      <c r="BF4" s="252"/>
      <c r="BG4" s="252"/>
      <c r="BH4" s="252"/>
      <c r="BI4" s="252"/>
      <c r="BJ4" s="252"/>
      <c r="BK4" s="252"/>
      <c r="BL4" s="252"/>
      <c r="BM4" s="252"/>
      <c r="BN4" s="252"/>
      <c r="BO4" s="252"/>
      <c r="BP4" s="252"/>
      <c r="BQ4" s="252"/>
      <c r="BR4" s="252"/>
      <c r="BS4" s="252"/>
      <c r="BT4" s="252"/>
      <c r="BU4" s="252"/>
      <c r="BV4" s="252"/>
      <c r="BW4" s="252"/>
      <c r="BX4" s="252"/>
      <c r="BY4" s="252"/>
      <c r="BZ4" s="252"/>
      <c r="CA4" s="252"/>
      <c r="CB4" s="252"/>
      <c r="CC4" s="252"/>
      <c r="CD4" s="252"/>
      <c r="CE4" s="252"/>
      <c r="CF4" s="252"/>
      <c r="CG4" s="252"/>
      <c r="CH4" s="252"/>
      <c r="CI4" s="252"/>
      <c r="CJ4" s="252"/>
      <c r="CK4" s="252"/>
      <c r="CL4" s="252"/>
      <c r="CM4" s="252"/>
      <c r="CN4" s="252"/>
      <c r="CO4" s="252"/>
      <c r="CP4" s="252"/>
      <c r="CQ4" s="252"/>
      <c r="CR4" s="252"/>
      <c r="CS4" s="252"/>
      <c r="CT4" s="252"/>
      <c r="CU4" s="252"/>
      <c r="CV4" s="252"/>
      <c r="CW4" s="252"/>
      <c r="CX4" s="252"/>
      <c r="CY4" s="252"/>
      <c r="CZ4" s="252"/>
      <c r="DA4" s="252"/>
      <c r="DB4" s="252"/>
      <c r="DC4" s="252"/>
      <c r="DD4" s="252"/>
      <c r="DE4" s="252"/>
      <c r="DF4" s="252"/>
      <c r="DG4" s="252"/>
      <c r="DH4" s="252"/>
      <c r="DI4" s="252"/>
      <c r="DJ4" s="252"/>
      <c r="DK4" s="252"/>
      <c r="DL4" s="252"/>
      <c r="DM4" s="252"/>
      <c r="DN4" s="252"/>
      <c r="DO4" s="252"/>
      <c r="DP4" s="252"/>
      <c r="DQ4" s="252"/>
      <c r="DR4" s="252"/>
      <c r="DS4" s="252"/>
      <c r="DT4" s="252"/>
      <c r="DU4" s="252"/>
      <c r="DV4" s="252"/>
      <c r="DW4" s="252"/>
      <c r="DX4" s="252"/>
      <c r="DY4" s="252"/>
      <c r="DZ4" s="252"/>
      <c r="EA4" s="252"/>
      <c r="EB4" s="252"/>
      <c r="EC4" s="253"/>
      <c r="ED4" s="97"/>
    </row>
    <row r="5" spans="1:153" ht="3" customHeight="1" x14ac:dyDescent="0.25">
      <c r="B5" s="254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  <c r="AS5" s="255"/>
      <c r="AT5" s="255"/>
      <c r="AU5" s="255"/>
      <c r="AV5" s="255"/>
      <c r="AW5" s="255"/>
      <c r="AX5" s="255"/>
      <c r="AY5" s="255"/>
      <c r="AZ5" s="255"/>
      <c r="BA5" s="255"/>
      <c r="BB5" s="255"/>
      <c r="BC5" s="255"/>
      <c r="BD5" s="255"/>
      <c r="BE5" s="255"/>
      <c r="BF5" s="255"/>
      <c r="BG5" s="255"/>
      <c r="BH5" s="255"/>
      <c r="BI5" s="255"/>
      <c r="BJ5" s="255"/>
      <c r="BK5" s="255"/>
      <c r="BL5" s="255"/>
      <c r="BM5" s="255"/>
      <c r="BN5" s="255"/>
      <c r="BO5" s="255"/>
      <c r="BP5" s="255"/>
      <c r="BQ5" s="255"/>
      <c r="BR5" s="255"/>
      <c r="BS5" s="255"/>
      <c r="BT5" s="255"/>
      <c r="BU5" s="255"/>
      <c r="BV5" s="255"/>
      <c r="BW5" s="255"/>
      <c r="BX5" s="255"/>
      <c r="BY5" s="255"/>
      <c r="BZ5" s="255"/>
      <c r="CA5" s="255"/>
      <c r="CB5" s="255"/>
      <c r="CC5" s="255"/>
      <c r="CD5" s="255"/>
      <c r="CE5" s="255"/>
      <c r="CF5" s="255"/>
      <c r="CG5" s="255"/>
      <c r="CH5" s="255"/>
      <c r="CI5" s="255"/>
      <c r="CJ5" s="255"/>
      <c r="CK5" s="255"/>
      <c r="CL5" s="255"/>
      <c r="CM5" s="255"/>
      <c r="CN5" s="255"/>
      <c r="CO5" s="255"/>
      <c r="CP5" s="255"/>
      <c r="CQ5" s="255"/>
      <c r="CR5" s="255"/>
      <c r="CS5" s="255"/>
      <c r="CT5" s="255"/>
      <c r="CU5" s="255"/>
      <c r="CV5" s="255"/>
      <c r="CW5" s="255"/>
      <c r="CX5" s="255"/>
      <c r="CY5" s="255"/>
      <c r="CZ5" s="255"/>
      <c r="DA5" s="255"/>
      <c r="DB5" s="255"/>
      <c r="DC5" s="255"/>
      <c r="DD5" s="255"/>
      <c r="DE5" s="255"/>
      <c r="DF5" s="255"/>
      <c r="DG5" s="255"/>
      <c r="DH5" s="255"/>
      <c r="DI5" s="255"/>
      <c r="DJ5" s="255"/>
      <c r="DK5" s="255"/>
      <c r="DL5" s="255"/>
      <c r="DM5" s="255"/>
      <c r="DN5" s="255"/>
      <c r="DO5" s="255"/>
      <c r="DP5" s="255"/>
      <c r="DQ5" s="255"/>
      <c r="DR5" s="255"/>
      <c r="DS5" s="255"/>
      <c r="DT5" s="255"/>
      <c r="DU5" s="255"/>
      <c r="DV5" s="255"/>
      <c r="DW5" s="255"/>
      <c r="DX5" s="255"/>
      <c r="DY5" s="255"/>
      <c r="DZ5" s="255"/>
      <c r="EA5" s="255"/>
      <c r="EB5" s="255"/>
      <c r="EC5" s="256"/>
      <c r="ED5" s="110"/>
    </row>
    <row r="6" spans="1:153" s="2" customFormat="1" ht="23.25" customHeight="1" x14ac:dyDescent="0.2">
      <c r="A6" s="53"/>
      <c r="B6" s="245" t="s">
        <v>30</v>
      </c>
      <c r="C6" s="245" t="s">
        <v>77</v>
      </c>
      <c r="D6" s="245" t="s">
        <v>79</v>
      </c>
      <c r="E6" s="245" t="s">
        <v>80</v>
      </c>
      <c r="F6" s="245" t="s">
        <v>81</v>
      </c>
      <c r="G6" s="245" t="s">
        <v>17</v>
      </c>
      <c r="H6" s="37" t="s">
        <v>3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257" t="s">
        <v>16</v>
      </c>
      <c r="AP6" s="258"/>
      <c r="AQ6" s="258"/>
      <c r="AR6" s="258"/>
      <c r="AS6" s="258"/>
      <c r="AT6" s="258"/>
      <c r="AU6" s="258"/>
      <c r="AV6" s="258"/>
      <c r="AW6" s="258"/>
      <c r="AX6" s="258"/>
      <c r="AY6" s="258"/>
      <c r="AZ6" s="258"/>
      <c r="BA6" s="258"/>
      <c r="BB6" s="258"/>
      <c r="BC6" s="258"/>
      <c r="BD6" s="258"/>
      <c r="BE6" s="258"/>
      <c r="BF6" s="258"/>
      <c r="BG6" s="258"/>
      <c r="BH6" s="258"/>
      <c r="BI6" s="258"/>
      <c r="BJ6" s="258"/>
      <c r="BK6" s="258"/>
      <c r="BL6" s="258"/>
      <c r="BM6" s="258"/>
      <c r="BN6" s="258"/>
      <c r="BO6" s="258"/>
      <c r="BP6" s="258"/>
      <c r="BQ6" s="258"/>
      <c r="BR6" s="258"/>
      <c r="BS6" s="258"/>
      <c r="BT6" s="258"/>
      <c r="BU6" s="258"/>
      <c r="BV6" s="258"/>
      <c r="BW6" s="258"/>
      <c r="BX6" s="258"/>
      <c r="BY6" s="258"/>
      <c r="BZ6" s="258"/>
      <c r="CA6" s="258"/>
      <c r="CB6" s="258"/>
      <c r="CC6" s="258"/>
      <c r="CD6" s="258"/>
      <c r="CE6" s="258"/>
      <c r="CF6" s="258"/>
      <c r="CG6" s="258"/>
      <c r="CH6" s="258"/>
      <c r="CI6" s="258"/>
      <c r="CJ6" s="258"/>
      <c r="CK6" s="258"/>
      <c r="CL6" s="258"/>
      <c r="CM6" s="258"/>
      <c r="CN6" s="258"/>
      <c r="CO6" s="258"/>
      <c r="CP6" s="258"/>
      <c r="CQ6" s="258"/>
      <c r="CR6" s="258"/>
      <c r="CS6" s="258"/>
      <c r="CT6" s="258"/>
      <c r="CU6" s="258"/>
      <c r="CV6" s="258"/>
      <c r="CW6" s="258"/>
      <c r="CX6" s="258"/>
      <c r="CY6" s="258"/>
      <c r="CZ6" s="258"/>
      <c r="DA6" s="258"/>
      <c r="DB6" s="258"/>
      <c r="DC6" s="258"/>
      <c r="DD6" s="258"/>
      <c r="DE6" s="258"/>
      <c r="DF6" s="258"/>
      <c r="DG6" s="258"/>
      <c r="DH6" s="258"/>
      <c r="DI6" s="258"/>
      <c r="DJ6" s="258"/>
      <c r="DK6" s="258"/>
      <c r="DL6" s="258"/>
      <c r="DM6" s="258"/>
      <c r="DN6" s="258"/>
      <c r="DO6" s="258"/>
      <c r="DP6" s="258"/>
      <c r="DQ6" s="258"/>
      <c r="DR6" s="258"/>
      <c r="DS6" s="258"/>
      <c r="DT6" s="258"/>
      <c r="DU6" s="258"/>
      <c r="DV6" s="258"/>
      <c r="DW6" s="258"/>
      <c r="DX6" s="258"/>
      <c r="DY6" s="258"/>
      <c r="DZ6" s="258"/>
      <c r="EA6" s="258"/>
      <c r="EB6" s="258"/>
      <c r="EC6" s="259"/>
      <c r="ED6" s="97"/>
    </row>
    <row r="7" spans="1:153" s="2" customFormat="1" ht="23.25" customHeight="1" x14ac:dyDescent="0.25">
      <c r="A7" s="53"/>
      <c r="B7" s="246"/>
      <c r="C7" s="246"/>
      <c r="D7" s="246"/>
      <c r="E7" s="246"/>
      <c r="F7" s="246"/>
      <c r="G7" s="246"/>
      <c r="H7" s="38">
        <v>1</v>
      </c>
      <c r="I7" s="38">
        <v>2</v>
      </c>
      <c r="J7" s="38">
        <v>3</v>
      </c>
      <c r="K7" s="38">
        <v>4</v>
      </c>
      <c r="L7" s="38">
        <v>5</v>
      </c>
      <c r="M7" s="38">
        <f>1+L7</f>
        <v>6</v>
      </c>
      <c r="N7" s="38">
        <f t="shared" ref="N7:AX7" si="0">1+M7</f>
        <v>7</v>
      </c>
      <c r="O7" s="38">
        <f t="shared" si="0"/>
        <v>8</v>
      </c>
      <c r="P7" s="38">
        <f t="shared" si="0"/>
        <v>9</v>
      </c>
      <c r="Q7" s="38">
        <f t="shared" si="0"/>
        <v>10</v>
      </c>
      <c r="R7" s="38">
        <f t="shared" si="0"/>
        <v>11</v>
      </c>
      <c r="S7" s="38">
        <f t="shared" si="0"/>
        <v>12</v>
      </c>
      <c r="T7" s="38">
        <f t="shared" si="0"/>
        <v>13</v>
      </c>
      <c r="U7" s="38">
        <f t="shared" si="0"/>
        <v>14</v>
      </c>
      <c r="V7" s="38">
        <f t="shared" si="0"/>
        <v>15</v>
      </c>
      <c r="W7" s="38">
        <f t="shared" si="0"/>
        <v>16</v>
      </c>
      <c r="X7" s="38">
        <f t="shared" si="0"/>
        <v>17</v>
      </c>
      <c r="Y7" s="38">
        <f t="shared" si="0"/>
        <v>18</v>
      </c>
      <c r="Z7" s="38">
        <f t="shared" si="0"/>
        <v>19</v>
      </c>
      <c r="AA7" s="38">
        <f t="shared" si="0"/>
        <v>20</v>
      </c>
      <c r="AB7" s="38">
        <f t="shared" si="0"/>
        <v>21</v>
      </c>
      <c r="AC7" s="38">
        <f t="shared" si="0"/>
        <v>22</v>
      </c>
      <c r="AD7" s="38">
        <f t="shared" si="0"/>
        <v>23</v>
      </c>
      <c r="AE7" s="38">
        <f t="shared" si="0"/>
        <v>24</v>
      </c>
      <c r="AF7" s="38">
        <f t="shared" si="0"/>
        <v>25</v>
      </c>
      <c r="AG7" s="38">
        <f t="shared" si="0"/>
        <v>26</v>
      </c>
      <c r="AH7" s="38">
        <f t="shared" si="0"/>
        <v>27</v>
      </c>
      <c r="AI7" s="38">
        <f t="shared" si="0"/>
        <v>28</v>
      </c>
      <c r="AJ7" s="38">
        <f t="shared" si="0"/>
        <v>29</v>
      </c>
      <c r="AK7" s="38">
        <f t="shared" si="0"/>
        <v>30</v>
      </c>
      <c r="AL7" s="38">
        <f t="shared" si="0"/>
        <v>31</v>
      </c>
      <c r="AM7" s="38">
        <f t="shared" si="0"/>
        <v>32</v>
      </c>
      <c r="AN7" s="38">
        <f t="shared" si="0"/>
        <v>33</v>
      </c>
      <c r="AO7" s="38">
        <f t="shared" si="0"/>
        <v>34</v>
      </c>
      <c r="AP7" s="38">
        <f t="shared" si="0"/>
        <v>35</v>
      </c>
      <c r="AQ7" s="38">
        <f t="shared" si="0"/>
        <v>36</v>
      </c>
      <c r="AR7" s="38">
        <f t="shared" si="0"/>
        <v>37</v>
      </c>
      <c r="AS7" s="38">
        <f t="shared" si="0"/>
        <v>38</v>
      </c>
      <c r="AT7" s="38">
        <f t="shared" si="0"/>
        <v>39</v>
      </c>
      <c r="AU7" s="38">
        <f t="shared" si="0"/>
        <v>40</v>
      </c>
      <c r="AV7" s="38">
        <f t="shared" si="0"/>
        <v>41</v>
      </c>
      <c r="AW7" s="38">
        <f t="shared" si="0"/>
        <v>42</v>
      </c>
      <c r="AX7" s="38">
        <f t="shared" si="0"/>
        <v>43</v>
      </c>
      <c r="AY7" s="38">
        <f>1+AX7</f>
        <v>44</v>
      </c>
      <c r="AZ7" s="38">
        <f t="shared" ref="AZ7:BE7" si="1">1+AY7</f>
        <v>45</v>
      </c>
      <c r="BA7" s="38">
        <f t="shared" si="1"/>
        <v>46</v>
      </c>
      <c r="BB7" s="38">
        <f t="shared" si="1"/>
        <v>47</v>
      </c>
      <c r="BC7" s="38">
        <f t="shared" si="1"/>
        <v>48</v>
      </c>
      <c r="BD7" s="38">
        <f t="shared" si="1"/>
        <v>49</v>
      </c>
      <c r="BE7" s="38">
        <f t="shared" si="1"/>
        <v>50</v>
      </c>
      <c r="BF7" s="38">
        <f>1+BE7</f>
        <v>51</v>
      </c>
      <c r="BG7" s="38">
        <f t="shared" ref="BG7:CD7" si="2">1+BF7</f>
        <v>52</v>
      </c>
      <c r="BH7" s="38">
        <f t="shared" si="2"/>
        <v>53</v>
      </c>
      <c r="BI7" s="38">
        <f t="shared" si="2"/>
        <v>54</v>
      </c>
      <c r="BJ7" s="38">
        <f t="shared" si="2"/>
        <v>55</v>
      </c>
      <c r="BK7" s="38">
        <f t="shared" si="2"/>
        <v>56</v>
      </c>
      <c r="BL7" s="38">
        <f t="shared" si="2"/>
        <v>57</v>
      </c>
      <c r="BM7" s="38">
        <f t="shared" si="2"/>
        <v>58</v>
      </c>
      <c r="BN7" s="38">
        <f t="shared" si="2"/>
        <v>59</v>
      </c>
      <c r="BO7" s="38">
        <f t="shared" si="2"/>
        <v>60</v>
      </c>
      <c r="BP7" s="38">
        <f t="shared" si="2"/>
        <v>61</v>
      </c>
      <c r="BQ7" s="38">
        <f t="shared" si="2"/>
        <v>62</v>
      </c>
      <c r="BR7" s="38">
        <f t="shared" si="2"/>
        <v>63</v>
      </c>
      <c r="BS7" s="38">
        <f t="shared" si="2"/>
        <v>64</v>
      </c>
      <c r="BT7" s="38">
        <f t="shared" si="2"/>
        <v>65</v>
      </c>
      <c r="BU7" s="38">
        <f t="shared" si="2"/>
        <v>66</v>
      </c>
      <c r="BV7" s="38">
        <f t="shared" si="2"/>
        <v>67</v>
      </c>
      <c r="BW7" s="38">
        <f t="shared" si="2"/>
        <v>68</v>
      </c>
      <c r="BX7" s="38">
        <f t="shared" si="2"/>
        <v>69</v>
      </c>
      <c r="BY7" s="38">
        <f t="shared" si="2"/>
        <v>70</v>
      </c>
      <c r="BZ7" s="38">
        <f t="shared" si="2"/>
        <v>71</v>
      </c>
      <c r="CA7" s="38">
        <f t="shared" si="2"/>
        <v>72</v>
      </c>
      <c r="CB7" s="38">
        <f t="shared" si="2"/>
        <v>73</v>
      </c>
      <c r="CC7" s="38">
        <f t="shared" si="2"/>
        <v>74</v>
      </c>
      <c r="CD7" s="38">
        <f t="shared" si="2"/>
        <v>75</v>
      </c>
      <c r="CE7" s="38">
        <f t="shared" ref="CE7:DE7" si="3">1+CD7</f>
        <v>76</v>
      </c>
      <c r="CF7" s="38">
        <f t="shared" si="3"/>
        <v>77</v>
      </c>
      <c r="CG7" s="38">
        <f t="shared" si="3"/>
        <v>78</v>
      </c>
      <c r="CH7" s="38">
        <f t="shared" si="3"/>
        <v>79</v>
      </c>
      <c r="CI7" s="38">
        <f t="shared" si="3"/>
        <v>80</v>
      </c>
      <c r="CJ7" s="38">
        <f t="shared" si="3"/>
        <v>81</v>
      </c>
      <c r="CK7" s="38">
        <f t="shared" si="3"/>
        <v>82</v>
      </c>
      <c r="CL7" s="38">
        <f t="shared" si="3"/>
        <v>83</v>
      </c>
      <c r="CM7" s="38">
        <f t="shared" si="3"/>
        <v>84</v>
      </c>
      <c r="CN7" s="38">
        <f t="shared" si="3"/>
        <v>85</v>
      </c>
      <c r="CO7" s="38">
        <f t="shared" si="3"/>
        <v>86</v>
      </c>
      <c r="CP7" s="38">
        <f t="shared" si="3"/>
        <v>87</v>
      </c>
      <c r="CQ7" s="38">
        <f t="shared" si="3"/>
        <v>88</v>
      </c>
      <c r="CR7" s="38">
        <f t="shared" si="3"/>
        <v>89</v>
      </c>
      <c r="CS7" s="38">
        <f t="shared" si="3"/>
        <v>90</v>
      </c>
      <c r="CT7" s="38">
        <f t="shared" si="3"/>
        <v>91</v>
      </c>
      <c r="CU7" s="38">
        <f t="shared" si="3"/>
        <v>92</v>
      </c>
      <c r="CV7" s="38">
        <f t="shared" si="3"/>
        <v>93</v>
      </c>
      <c r="CW7" s="38">
        <f t="shared" si="3"/>
        <v>94</v>
      </c>
      <c r="CX7" s="38">
        <f t="shared" si="3"/>
        <v>95</v>
      </c>
      <c r="CY7" s="38">
        <f t="shared" si="3"/>
        <v>96</v>
      </c>
      <c r="CZ7" s="38">
        <f t="shared" si="3"/>
        <v>97</v>
      </c>
      <c r="DA7" s="38">
        <f t="shared" si="3"/>
        <v>98</v>
      </c>
      <c r="DB7" s="38">
        <f t="shared" si="3"/>
        <v>99</v>
      </c>
      <c r="DC7" s="38">
        <f t="shared" si="3"/>
        <v>100</v>
      </c>
      <c r="DD7" s="38">
        <f t="shared" si="3"/>
        <v>101</v>
      </c>
      <c r="DE7" s="38">
        <f t="shared" si="3"/>
        <v>102</v>
      </c>
      <c r="DF7" s="38">
        <f>1+BF7</f>
        <v>52</v>
      </c>
      <c r="DG7" s="38">
        <f>1+DF7</f>
        <v>53</v>
      </c>
      <c r="DH7" s="38">
        <f>1+DG7</f>
        <v>54</v>
      </c>
      <c r="DI7" s="38">
        <f t="shared" ref="DI7:DR7" si="4">1+DH7</f>
        <v>55</v>
      </c>
      <c r="DJ7" s="38">
        <f t="shared" si="4"/>
        <v>56</v>
      </c>
      <c r="DK7" s="38">
        <f t="shared" si="4"/>
        <v>57</v>
      </c>
      <c r="DL7" s="38">
        <f t="shared" si="4"/>
        <v>58</v>
      </c>
      <c r="DM7" s="38">
        <f t="shared" si="4"/>
        <v>59</v>
      </c>
      <c r="DN7" s="38">
        <f t="shared" si="4"/>
        <v>60</v>
      </c>
      <c r="DO7" s="38">
        <f t="shared" si="4"/>
        <v>61</v>
      </c>
      <c r="DP7" s="38">
        <f t="shared" si="4"/>
        <v>62</v>
      </c>
      <c r="DQ7" s="38">
        <f t="shared" si="4"/>
        <v>63</v>
      </c>
      <c r="DR7" s="38">
        <f t="shared" si="4"/>
        <v>64</v>
      </c>
      <c r="DS7" s="38">
        <f>1+DR7</f>
        <v>65</v>
      </c>
      <c r="DT7" s="38">
        <f t="shared" ref="DT7:DY7" si="5">1+DS7</f>
        <v>66</v>
      </c>
      <c r="DU7" s="38">
        <f t="shared" si="5"/>
        <v>67</v>
      </c>
      <c r="DV7" s="38">
        <f t="shared" si="5"/>
        <v>68</v>
      </c>
      <c r="DW7" s="38">
        <f t="shared" si="5"/>
        <v>69</v>
      </c>
      <c r="DX7" s="38">
        <f t="shared" si="5"/>
        <v>70</v>
      </c>
      <c r="DY7" s="38">
        <f t="shared" si="5"/>
        <v>71</v>
      </c>
      <c r="DZ7" s="38">
        <f>1+DY7</f>
        <v>72</v>
      </c>
      <c r="EA7" s="38">
        <f>1+DZ7</f>
        <v>73</v>
      </c>
      <c r="EB7" s="38">
        <f>1+EA7</f>
        <v>74</v>
      </c>
      <c r="EC7" s="38">
        <f>1+EB7</f>
        <v>75</v>
      </c>
      <c r="ET7"/>
      <c r="EU7"/>
      <c r="EV7"/>
      <c r="EW7"/>
    </row>
    <row r="8" spans="1:153" s="2" customFormat="1" ht="23.25" customHeight="1" x14ac:dyDescent="0.25">
      <c r="A8" s="53"/>
      <c r="B8" s="247"/>
      <c r="C8" s="247"/>
      <c r="D8" s="247"/>
      <c r="E8" s="247"/>
      <c r="F8" s="247"/>
      <c r="G8" s="247"/>
      <c r="H8" s="39">
        <v>46013</v>
      </c>
      <c r="I8" s="39">
        <v>46014</v>
      </c>
      <c r="J8" s="39">
        <v>46015</v>
      </c>
      <c r="K8" s="39">
        <v>46017</v>
      </c>
      <c r="L8" s="39">
        <v>46020</v>
      </c>
      <c r="M8" s="39">
        <v>46021</v>
      </c>
      <c r="N8" s="39">
        <v>46022</v>
      </c>
      <c r="O8" s="39">
        <v>46024</v>
      </c>
      <c r="P8" s="40">
        <v>46027</v>
      </c>
      <c r="Q8" s="40">
        <v>46028</v>
      </c>
      <c r="R8" s="40">
        <v>46029</v>
      </c>
      <c r="S8" s="40">
        <v>46030</v>
      </c>
      <c r="T8" s="40">
        <v>46031</v>
      </c>
      <c r="U8" s="39">
        <v>46034</v>
      </c>
      <c r="V8" s="39">
        <v>46035</v>
      </c>
      <c r="W8" s="39">
        <v>46036</v>
      </c>
      <c r="X8" s="39">
        <v>46037</v>
      </c>
      <c r="Y8" s="39">
        <v>46039</v>
      </c>
      <c r="Z8" s="39">
        <v>46041</v>
      </c>
      <c r="AA8" s="39">
        <v>46042</v>
      </c>
      <c r="AB8" s="39">
        <v>46043</v>
      </c>
      <c r="AC8" s="39">
        <v>46044</v>
      </c>
      <c r="AD8" s="39">
        <v>46045</v>
      </c>
      <c r="AE8" s="39">
        <v>46048</v>
      </c>
      <c r="AF8" s="39">
        <v>46049</v>
      </c>
      <c r="AG8" s="39">
        <v>46050</v>
      </c>
      <c r="AH8" s="39">
        <v>46051</v>
      </c>
      <c r="AI8" s="39">
        <v>46052</v>
      </c>
      <c r="AJ8" s="39">
        <v>46055</v>
      </c>
      <c r="AK8" s="39">
        <v>46056</v>
      </c>
      <c r="AL8" s="39">
        <v>46057</v>
      </c>
      <c r="AM8" s="39">
        <v>46058</v>
      </c>
      <c r="AN8" s="39">
        <v>46059</v>
      </c>
      <c r="AO8" s="39">
        <v>46083</v>
      </c>
      <c r="AP8" s="39">
        <v>46084</v>
      </c>
      <c r="AQ8" s="39">
        <v>46085</v>
      </c>
      <c r="AR8" s="39">
        <v>46086</v>
      </c>
      <c r="AS8" s="39">
        <v>46087</v>
      </c>
      <c r="AT8" s="39">
        <v>46090</v>
      </c>
      <c r="AU8" s="39">
        <v>46091</v>
      </c>
      <c r="AV8" s="39">
        <v>46092</v>
      </c>
      <c r="AW8" s="39">
        <v>46093</v>
      </c>
      <c r="AX8" s="39">
        <v>46094</v>
      </c>
      <c r="AY8" s="39">
        <v>46097</v>
      </c>
      <c r="AZ8" s="39">
        <v>46098</v>
      </c>
      <c r="BA8" s="39">
        <v>46099</v>
      </c>
      <c r="BB8" s="39">
        <v>46106</v>
      </c>
      <c r="BC8" s="39">
        <v>46107</v>
      </c>
      <c r="BD8" s="39">
        <v>46108</v>
      </c>
      <c r="BE8" s="39">
        <v>46109</v>
      </c>
      <c r="BF8" s="39">
        <v>46111</v>
      </c>
      <c r="BG8" s="39">
        <v>45747</v>
      </c>
      <c r="BH8" s="39">
        <v>46113</v>
      </c>
      <c r="BI8" s="39">
        <v>46114</v>
      </c>
      <c r="BJ8" s="39">
        <v>46115</v>
      </c>
      <c r="BK8" s="39">
        <v>46116</v>
      </c>
      <c r="BL8" s="39">
        <v>46118</v>
      </c>
      <c r="BM8" s="39">
        <v>46119</v>
      </c>
      <c r="BN8" s="39">
        <v>46120</v>
      </c>
      <c r="BO8" s="39">
        <v>46121</v>
      </c>
      <c r="BP8" s="39">
        <v>46122</v>
      </c>
      <c r="BQ8" s="39">
        <v>46123</v>
      </c>
      <c r="BR8" s="39">
        <v>46125</v>
      </c>
      <c r="BS8" s="39">
        <v>46126</v>
      </c>
      <c r="BT8" s="39">
        <v>46127</v>
      </c>
      <c r="BU8" s="39">
        <v>46128</v>
      </c>
      <c r="BV8" s="39">
        <v>46129</v>
      </c>
      <c r="BW8" s="39">
        <v>46130</v>
      </c>
      <c r="BX8" s="39">
        <v>46132</v>
      </c>
      <c r="BY8" s="39">
        <v>46133</v>
      </c>
      <c r="BZ8" s="39">
        <v>46134</v>
      </c>
      <c r="CA8" s="39">
        <v>46135</v>
      </c>
      <c r="CB8" s="39">
        <v>46136</v>
      </c>
      <c r="CC8" s="39">
        <v>46137</v>
      </c>
      <c r="CD8" s="39">
        <v>46138</v>
      </c>
      <c r="CE8" s="39">
        <v>46139</v>
      </c>
      <c r="CF8" s="39">
        <v>46140</v>
      </c>
      <c r="CG8" s="39">
        <v>46141</v>
      </c>
      <c r="CH8" s="39">
        <v>46142</v>
      </c>
      <c r="CI8" s="39">
        <v>46143</v>
      </c>
      <c r="CJ8" s="39">
        <v>46144</v>
      </c>
      <c r="CK8" s="39">
        <v>46145</v>
      </c>
      <c r="CL8" s="39">
        <v>45778</v>
      </c>
      <c r="CM8" s="39">
        <v>45779</v>
      </c>
      <c r="CN8" s="39">
        <v>45780</v>
      </c>
      <c r="CO8" s="39">
        <v>45781</v>
      </c>
      <c r="CP8" s="39">
        <v>45782</v>
      </c>
      <c r="CQ8" s="39">
        <v>45783</v>
      </c>
      <c r="CR8" s="39">
        <v>45784</v>
      </c>
      <c r="CS8" s="39">
        <v>45785</v>
      </c>
      <c r="CT8" s="39">
        <v>45786</v>
      </c>
      <c r="CU8" s="39">
        <v>45787</v>
      </c>
      <c r="CV8" s="39">
        <v>45788</v>
      </c>
      <c r="CW8" s="39">
        <v>45789</v>
      </c>
      <c r="CX8" s="39">
        <v>45790</v>
      </c>
      <c r="CY8" s="39">
        <v>45791</v>
      </c>
      <c r="CZ8" s="39">
        <v>45792</v>
      </c>
      <c r="DA8" s="39">
        <v>45793</v>
      </c>
      <c r="DB8" s="39">
        <v>45794</v>
      </c>
      <c r="DC8" s="39">
        <v>45795</v>
      </c>
      <c r="DD8" s="39">
        <v>45796</v>
      </c>
      <c r="DE8" s="39">
        <v>45797</v>
      </c>
      <c r="DF8" s="39">
        <v>45798</v>
      </c>
      <c r="DG8" s="39">
        <v>45799</v>
      </c>
      <c r="DH8" s="39">
        <v>45800</v>
      </c>
      <c r="DI8" s="39">
        <v>45801</v>
      </c>
      <c r="DJ8" s="39">
        <v>45802</v>
      </c>
      <c r="DK8" s="39">
        <v>45803</v>
      </c>
      <c r="DL8" s="39">
        <v>45804</v>
      </c>
      <c r="DM8" s="39">
        <v>45805</v>
      </c>
      <c r="DN8" s="39">
        <v>45806</v>
      </c>
      <c r="DO8" s="39">
        <v>45807</v>
      </c>
      <c r="DP8" s="39">
        <v>45808</v>
      </c>
      <c r="DQ8" s="39">
        <v>45809</v>
      </c>
      <c r="DR8" s="39">
        <v>45810</v>
      </c>
      <c r="DS8" s="39">
        <v>45811</v>
      </c>
      <c r="DT8" s="39">
        <v>45812</v>
      </c>
      <c r="DU8" s="39">
        <v>45813</v>
      </c>
      <c r="DV8" s="39">
        <v>45814</v>
      </c>
      <c r="DW8" s="39">
        <v>45815</v>
      </c>
      <c r="DX8" s="39">
        <v>45816</v>
      </c>
      <c r="DY8" s="39">
        <v>45817</v>
      </c>
      <c r="DZ8" s="39">
        <v>45818</v>
      </c>
      <c r="EA8" s="39">
        <v>45819</v>
      </c>
      <c r="EB8" s="39">
        <v>45820</v>
      </c>
      <c r="EC8" s="39">
        <v>45821</v>
      </c>
      <c r="ET8"/>
      <c r="EU8"/>
      <c r="EV8"/>
      <c r="EW8"/>
    </row>
    <row r="9" spans="1:153" s="12" customFormat="1" ht="23.25" customHeight="1" x14ac:dyDescent="0.25">
      <c r="A9" s="55"/>
      <c r="B9" s="239" t="s">
        <v>36</v>
      </c>
      <c r="C9" s="239" t="s">
        <v>85</v>
      </c>
      <c r="D9" s="239">
        <v>27</v>
      </c>
      <c r="E9" s="239">
        <v>17</v>
      </c>
      <c r="F9" s="239">
        <f t="shared" ref="F9:F11" si="6">+E9-D9:D9</f>
        <v>-10</v>
      </c>
      <c r="G9" s="167" t="s">
        <v>10</v>
      </c>
      <c r="H9" s="24">
        <v>126</v>
      </c>
      <c r="I9" s="24">
        <v>150</v>
      </c>
      <c r="J9" s="24">
        <v>144</v>
      </c>
      <c r="K9" s="47"/>
      <c r="L9" s="24">
        <v>222</v>
      </c>
      <c r="M9" s="24">
        <v>246</v>
      </c>
      <c r="N9" s="24">
        <v>216</v>
      </c>
      <c r="O9" s="24">
        <v>246</v>
      </c>
      <c r="P9" s="24">
        <v>246</v>
      </c>
      <c r="Q9" s="24">
        <v>288</v>
      </c>
      <c r="R9" s="24">
        <v>342</v>
      </c>
      <c r="S9" s="48"/>
      <c r="T9" s="48"/>
      <c r="U9" s="47"/>
      <c r="V9" s="47"/>
      <c r="W9" s="47"/>
      <c r="X9" s="47"/>
      <c r="Y9" s="47"/>
      <c r="Z9" s="48"/>
      <c r="AA9" s="47"/>
      <c r="AB9" s="48"/>
      <c r="AC9" s="48"/>
      <c r="AD9" s="47"/>
      <c r="AE9" s="47">
        <v>528</v>
      </c>
      <c r="AF9" s="47">
        <v>566</v>
      </c>
      <c r="AG9" s="47">
        <v>467</v>
      </c>
      <c r="AH9" s="47">
        <v>442</v>
      </c>
      <c r="AI9" s="47">
        <v>449</v>
      </c>
      <c r="AJ9" s="48">
        <v>583</v>
      </c>
      <c r="AK9" s="48">
        <v>692</v>
      </c>
      <c r="AL9" s="48">
        <v>714</v>
      </c>
      <c r="AM9" s="48">
        <v>774</v>
      </c>
      <c r="AN9" s="48">
        <v>798</v>
      </c>
      <c r="AO9" s="58">
        <f>+'Cell 5 603'!AS5</f>
        <v>0</v>
      </c>
      <c r="AP9" s="58">
        <f>+'Cell 5 603'!AT5</f>
        <v>0</v>
      </c>
      <c r="AQ9" s="58">
        <f>+'Cell 5 603'!AU5</f>
        <v>0</v>
      </c>
      <c r="AR9" s="58">
        <f>+'Cell 5 603'!AV5</f>
        <v>0</v>
      </c>
      <c r="AS9" s="58">
        <f>+'Cell 5 603'!AW5</f>
        <v>0</v>
      </c>
      <c r="AT9" s="58">
        <f>+'Cell 5 603'!AX5</f>
        <v>0</v>
      </c>
      <c r="AU9" s="58">
        <f>+'Cell 5 603'!AY5</f>
        <v>0</v>
      </c>
      <c r="AV9" s="58">
        <f>+'Cell 5 603'!AZ5</f>
        <v>0</v>
      </c>
      <c r="AW9" s="58">
        <f>+'Cell 5 603'!BA5</f>
        <v>0</v>
      </c>
      <c r="AX9" s="58">
        <f>+'Cell 5 603'!BB5</f>
        <v>0</v>
      </c>
      <c r="AY9" s="58">
        <f>+'Cell 5 603'!BC5</f>
        <v>0</v>
      </c>
      <c r="AZ9" s="58">
        <f>+'Cell 5 603'!BD5</f>
        <v>0</v>
      </c>
      <c r="BA9" s="58">
        <f>+'Cell 5 603'!BE5</f>
        <v>0</v>
      </c>
      <c r="BB9" s="58">
        <f>+'Cell 5 603'!BF5</f>
        <v>0</v>
      </c>
      <c r="BC9" s="58">
        <f>+'Cell 5 603'!BG5</f>
        <v>0</v>
      </c>
      <c r="BD9" s="58">
        <f>+'Cell 5 603'!BH5</f>
        <v>0</v>
      </c>
      <c r="BE9" s="101">
        <f>+'Cell 5 603'!BI5</f>
        <v>0</v>
      </c>
      <c r="BF9" s="101"/>
      <c r="BG9" s="24"/>
      <c r="BH9" s="24"/>
      <c r="BI9" s="24"/>
      <c r="BJ9" s="47">
        <f>+'Cell 3 603'!D9</f>
        <v>642</v>
      </c>
      <c r="BK9" s="47">
        <f>+'Cell 3 603'!E9</f>
        <v>0</v>
      </c>
      <c r="BL9" s="47">
        <f>+'Cell 3 603'!F9</f>
        <v>282</v>
      </c>
      <c r="BM9" s="47">
        <f>+'Cell 3 603'!G9</f>
        <v>0</v>
      </c>
      <c r="BN9" s="47">
        <f>+'Cell 3 603'!H9</f>
        <v>546</v>
      </c>
      <c r="BO9" s="47">
        <f>+'Cell 3 603'!I9</f>
        <v>0</v>
      </c>
      <c r="BP9" s="47">
        <f>+'Cell 3 603'!J9</f>
        <v>120</v>
      </c>
      <c r="BQ9" s="47">
        <f>+'Cell 3 603'!K9</f>
        <v>0</v>
      </c>
      <c r="BR9" s="169">
        <f>+'Cell 3 603'!L9</f>
        <v>1410</v>
      </c>
      <c r="BS9" s="169">
        <f>+'Cell 3 603'!M9</f>
        <v>810</v>
      </c>
      <c r="BT9" s="169">
        <f>+'Cell 3 603'!N9</f>
        <v>858</v>
      </c>
      <c r="BU9" s="169">
        <f>+'Cell 3 603'!O9</f>
        <v>648</v>
      </c>
      <c r="BV9" s="169">
        <f>+'Cell 3 603'!P9</f>
        <v>450</v>
      </c>
      <c r="BW9" s="169">
        <f>+'Cell 3 603'!Q9</f>
        <v>180</v>
      </c>
      <c r="BX9" s="169">
        <f>+'Cell 3 603'!R9</f>
        <v>300</v>
      </c>
      <c r="BY9" s="169">
        <f>+'Cell 3 603'!S9</f>
        <v>500</v>
      </c>
      <c r="BZ9" s="47"/>
      <c r="CA9" s="48"/>
      <c r="CB9" s="48"/>
      <c r="CC9" s="47"/>
      <c r="CD9" s="47"/>
      <c r="CE9" s="47"/>
      <c r="CF9" s="47"/>
      <c r="CG9" s="47"/>
      <c r="CH9" s="47"/>
      <c r="CI9" s="48"/>
      <c r="CJ9" s="48"/>
      <c r="CK9" s="48"/>
      <c r="CL9" s="48"/>
      <c r="CM9" s="4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101"/>
      <c r="DE9" s="101"/>
      <c r="DF9" s="9"/>
      <c r="DG9" s="48"/>
      <c r="DH9" s="48"/>
      <c r="DI9" s="48"/>
      <c r="DJ9" s="60"/>
      <c r="DK9" s="60"/>
      <c r="DL9" s="60"/>
      <c r="DM9" s="60"/>
      <c r="DN9" s="58"/>
      <c r="DO9" s="58"/>
      <c r="DP9" s="60"/>
      <c r="DQ9" s="58"/>
      <c r="DR9" s="60"/>
      <c r="DS9" s="60"/>
      <c r="DT9" s="58"/>
      <c r="DU9" s="60"/>
      <c r="DV9" s="64"/>
      <c r="DW9" s="10"/>
      <c r="DX9" s="10"/>
      <c r="DY9" s="9"/>
      <c r="DZ9" s="10"/>
      <c r="EA9" s="9"/>
      <c r="EB9" s="48"/>
      <c r="EC9" s="48"/>
      <c r="ET9"/>
      <c r="EU9"/>
      <c r="EV9"/>
      <c r="EW9"/>
    </row>
    <row r="10" spans="1:153" ht="23.25" customHeight="1" x14ac:dyDescent="0.25">
      <c r="A10" s="54"/>
      <c r="B10" s="240"/>
      <c r="C10" s="240"/>
      <c r="D10" s="240"/>
      <c r="E10" s="240"/>
      <c r="F10" s="240"/>
      <c r="G10" s="167" t="s">
        <v>6</v>
      </c>
      <c r="H10" s="45">
        <f>H9/9</f>
        <v>14</v>
      </c>
      <c r="I10" s="45">
        <f>I9/9</f>
        <v>16.666666666666668</v>
      </c>
      <c r="J10" s="45">
        <f>J9/10</f>
        <v>14.4</v>
      </c>
      <c r="K10" s="45">
        <f>K9/9</f>
        <v>0</v>
      </c>
      <c r="L10" s="45">
        <f>+L9/9</f>
        <v>24.666666666666668</v>
      </c>
      <c r="M10" s="45">
        <f>+M9/9</f>
        <v>27.333333333333332</v>
      </c>
      <c r="N10" s="45">
        <f>N9/10</f>
        <v>21.6</v>
      </c>
      <c r="O10" s="45">
        <f>O9/10</f>
        <v>24.6</v>
      </c>
      <c r="P10" s="45">
        <f>P9/10</f>
        <v>24.6</v>
      </c>
      <c r="Q10" s="45">
        <f>Q9/10</f>
        <v>28.8</v>
      </c>
      <c r="R10" s="45">
        <f>SUM(R9:R9)/8</f>
        <v>42.75</v>
      </c>
      <c r="S10" s="45">
        <f>S9/8</f>
        <v>0</v>
      </c>
      <c r="T10" s="45">
        <f>T9/8</f>
        <v>0</v>
      </c>
      <c r="U10" s="45">
        <f>U9/8</f>
        <v>0</v>
      </c>
      <c r="V10" s="45">
        <f>V9/8</f>
        <v>0</v>
      </c>
      <c r="W10" s="45">
        <f>W9/8</f>
        <v>0</v>
      </c>
      <c r="X10" s="45">
        <f t="shared" ref="X10:AC10" si="7">SUM(X9:X9)/8</f>
        <v>0</v>
      </c>
      <c r="Y10" s="45">
        <f t="shared" si="7"/>
        <v>0</v>
      </c>
      <c r="Z10" s="45">
        <f t="shared" si="7"/>
        <v>0</v>
      </c>
      <c r="AA10" s="45">
        <f t="shared" si="7"/>
        <v>0</v>
      </c>
      <c r="AB10" s="45">
        <f t="shared" si="7"/>
        <v>0</v>
      </c>
      <c r="AC10" s="45">
        <f t="shared" si="7"/>
        <v>0</v>
      </c>
      <c r="AD10" s="45">
        <f>AD9/9</f>
        <v>0</v>
      </c>
      <c r="AE10" s="45">
        <f>AE9/9</f>
        <v>58.666666666666664</v>
      </c>
      <c r="AF10" s="45">
        <f>AF9/9</f>
        <v>62.888888888888886</v>
      </c>
      <c r="AG10" s="45">
        <f>AG9/10</f>
        <v>46.7</v>
      </c>
      <c r="AH10" s="45">
        <f>AH9/9</f>
        <v>49.111111111111114</v>
      </c>
      <c r="AI10" s="45">
        <f>+AI9/9</f>
        <v>49.888888888888886</v>
      </c>
      <c r="AJ10" s="45">
        <f>+AJ9/9</f>
        <v>64.777777777777771</v>
      </c>
      <c r="AK10" s="45">
        <f>AK9/9</f>
        <v>76.888888888888886</v>
      </c>
      <c r="AL10" s="45">
        <f>AL9/9</f>
        <v>79.333333333333329</v>
      </c>
      <c r="AM10" s="45">
        <f>AM9/9</f>
        <v>86</v>
      </c>
      <c r="AN10" s="45">
        <f>AN9/9</f>
        <v>88.666666666666671</v>
      </c>
      <c r="AO10" s="45">
        <f>+'Cell 5 603'!AS6</f>
        <v>0</v>
      </c>
      <c r="AP10" s="45">
        <f>+'Cell 5 603'!AT6</f>
        <v>0</v>
      </c>
      <c r="AQ10" s="45">
        <f>+'Cell 5 603'!AU6</f>
        <v>0</v>
      </c>
      <c r="AR10" s="45">
        <f>+'Cell 5 603'!AV6</f>
        <v>0</v>
      </c>
      <c r="AS10" s="45">
        <f>+'Cell 5 603'!AW6</f>
        <v>0</v>
      </c>
      <c r="AT10" s="45">
        <f>+'Cell 5 603'!AX6</f>
        <v>0</v>
      </c>
      <c r="AU10" s="45">
        <f>+'Cell 5 603'!AY6</f>
        <v>0</v>
      </c>
      <c r="AV10" s="45">
        <f>+'Cell 5 603'!AZ6</f>
        <v>0</v>
      </c>
      <c r="AW10" s="45">
        <f>+'Cell 5 603'!BA6</f>
        <v>0</v>
      </c>
      <c r="AX10" s="45">
        <f>+'Cell 5 603'!BB6</f>
        <v>0</v>
      </c>
      <c r="AY10" s="45">
        <f>+'Cell 5 603'!BC6</f>
        <v>0</v>
      </c>
      <c r="AZ10" s="45">
        <f>+'Cell 5 603'!BD6</f>
        <v>0</v>
      </c>
      <c r="BA10" s="45">
        <f>+'Cell 5 603'!BE6</f>
        <v>0</v>
      </c>
      <c r="BB10" s="45">
        <f>+'Cell 5 603'!BF6</f>
        <v>0</v>
      </c>
      <c r="BC10" s="45">
        <f>+'Cell 5 603'!BG6</f>
        <v>0</v>
      </c>
      <c r="BD10" s="45">
        <f>+'Cell 5 603'!BH6</f>
        <v>0</v>
      </c>
      <c r="BE10" s="45">
        <f>+'Cell 5 603'!BI6</f>
        <v>0</v>
      </c>
      <c r="BF10" s="45"/>
      <c r="BG10" s="45"/>
      <c r="BH10" s="45"/>
      <c r="BI10" s="45"/>
      <c r="BJ10" s="45">
        <f>+'Cell 3 603'!D10</f>
        <v>80.25</v>
      </c>
      <c r="BK10" s="45">
        <f>+'Cell 3 603'!E10</f>
        <v>0</v>
      </c>
      <c r="BL10" s="45">
        <f>+'Cell 3 603'!F10</f>
        <v>28.2</v>
      </c>
      <c r="BM10" s="45">
        <f>+'Cell 3 603'!G10</f>
        <v>0</v>
      </c>
      <c r="BN10" s="45">
        <f>+'Cell 3 603'!H10</f>
        <v>68.25</v>
      </c>
      <c r="BO10" s="45">
        <f>+'Cell 3 603'!I10</f>
        <v>0</v>
      </c>
      <c r="BP10" s="45">
        <f>+'Cell 3 603'!J10</f>
        <v>12</v>
      </c>
      <c r="BQ10" s="45">
        <f>+'Cell 3 603'!K10</f>
        <v>0</v>
      </c>
      <c r="BR10" s="45">
        <f>+'Cell 3 603'!L10</f>
        <v>176.25</v>
      </c>
      <c r="BS10" s="45">
        <f>+'Cell 3 603'!M10</f>
        <v>101.25</v>
      </c>
      <c r="BT10" s="45">
        <f>+'Cell 3 603'!N10</f>
        <v>107.25</v>
      </c>
      <c r="BU10" s="45">
        <f>+'Cell 3 603'!O10</f>
        <v>81</v>
      </c>
      <c r="BV10" s="45">
        <f>+'Cell 3 603'!P10</f>
        <v>56.25</v>
      </c>
      <c r="BW10" s="45">
        <f>+'Cell 3 603'!Q10</f>
        <v>22.5</v>
      </c>
      <c r="BX10" s="45">
        <f>+'Cell 3 603'!R10</f>
        <v>37.5</v>
      </c>
      <c r="BY10" s="45">
        <f>+'Cell 3 603'!S10</f>
        <v>62.5</v>
      </c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U10" s="171"/>
    </row>
    <row r="11" spans="1:153" ht="23.25" customHeight="1" x14ac:dyDescent="0.25">
      <c r="A11" s="54"/>
      <c r="B11" s="260" t="s">
        <v>19</v>
      </c>
      <c r="C11" s="239" t="s">
        <v>78</v>
      </c>
      <c r="D11" s="239">
        <v>27</v>
      </c>
      <c r="E11" s="239">
        <v>25</v>
      </c>
      <c r="F11" s="239">
        <f t="shared" si="6"/>
        <v>-2</v>
      </c>
      <c r="G11" s="167" t="s">
        <v>10</v>
      </c>
      <c r="H11" s="24">
        <v>468</v>
      </c>
      <c r="I11" s="24">
        <v>522</v>
      </c>
      <c r="J11" s="24">
        <v>300</v>
      </c>
      <c r="K11" s="41"/>
      <c r="L11" s="24">
        <v>276</v>
      </c>
      <c r="M11" s="24">
        <v>540</v>
      </c>
      <c r="N11" s="24">
        <v>444</v>
      </c>
      <c r="O11" s="24">
        <v>462</v>
      </c>
      <c r="P11" s="24">
        <v>600</v>
      </c>
      <c r="Q11" s="24">
        <v>582</v>
      </c>
      <c r="R11" s="24">
        <v>429</v>
      </c>
      <c r="S11" s="42"/>
      <c r="T11" s="42"/>
      <c r="U11" s="42"/>
      <c r="V11" s="41"/>
      <c r="W11" s="41"/>
      <c r="X11" s="41"/>
      <c r="Y11" s="41"/>
      <c r="Z11" s="42"/>
      <c r="AA11" s="41"/>
      <c r="AB11" s="42"/>
      <c r="AC11" s="42"/>
      <c r="AD11" s="43"/>
      <c r="AE11" s="43">
        <v>600</v>
      </c>
      <c r="AF11" s="41">
        <v>600</v>
      </c>
      <c r="AG11" s="41">
        <v>612</v>
      </c>
      <c r="AH11" s="41">
        <v>672</v>
      </c>
      <c r="AI11" s="41">
        <v>348</v>
      </c>
      <c r="AJ11" s="42">
        <v>468</v>
      </c>
      <c r="AK11" s="41">
        <v>552</v>
      </c>
      <c r="AL11" s="42">
        <v>316</v>
      </c>
      <c r="AM11" s="44">
        <v>503</v>
      </c>
      <c r="AN11" s="42">
        <v>690</v>
      </c>
      <c r="AO11" s="91">
        <f>+'Cell 4 603'!BB9</f>
        <v>1278</v>
      </c>
      <c r="AP11" s="91">
        <f>+'Cell 4 603'!BC9</f>
        <v>732</v>
      </c>
      <c r="AQ11" s="91">
        <f>+'Cell 4 603'!BD9</f>
        <v>660</v>
      </c>
      <c r="AR11" s="91">
        <f>+'Cell 4 603'!BE9</f>
        <v>600</v>
      </c>
      <c r="AS11" s="91">
        <f>+'Cell 4 603'!BF9</f>
        <v>0</v>
      </c>
      <c r="AT11" s="91">
        <f>+'Cell 4 603'!BG9</f>
        <v>0</v>
      </c>
      <c r="AU11" s="91">
        <f>+'Cell 4 603'!BH9</f>
        <v>708</v>
      </c>
      <c r="AV11" s="91">
        <f>+'Cell 4 603'!BI9</f>
        <v>600</v>
      </c>
      <c r="AW11" s="91">
        <f>+'Cell 4 603'!BJ9</f>
        <v>630</v>
      </c>
      <c r="AX11" s="91">
        <f>+'Cell 4 603'!BK9</f>
        <v>864</v>
      </c>
      <c r="AY11" s="91">
        <f>+'Cell 4 603'!BL9</f>
        <v>702</v>
      </c>
      <c r="AZ11" s="91">
        <f>+'Cell 4 603'!BM9</f>
        <v>408</v>
      </c>
      <c r="BA11" s="91">
        <f>+'Cell 4 603'!BN9</f>
        <v>630</v>
      </c>
      <c r="BB11" s="91">
        <f>+'Cell 4 603'!BO9</f>
        <v>708</v>
      </c>
      <c r="BC11" s="91">
        <f>+'Cell 4 603'!BP9</f>
        <v>714</v>
      </c>
      <c r="BD11" s="91">
        <f>+'Cell 4 603'!BQ9</f>
        <v>840</v>
      </c>
      <c r="BE11" s="102">
        <f>+'Cell 4 603'!BR9</f>
        <v>1091</v>
      </c>
      <c r="BF11" s="102">
        <f>+'Cell 4 603'!BS9</f>
        <v>1113</v>
      </c>
      <c r="BG11" s="24">
        <f>+'Cell 4 603'!BT9</f>
        <v>894</v>
      </c>
      <c r="BH11" s="24">
        <f>+'Cell 4 603'!BU9</f>
        <v>924</v>
      </c>
      <c r="BI11" s="24">
        <f>+'Cell 4 603'!BV9</f>
        <v>816</v>
      </c>
      <c r="BJ11" s="114">
        <f>+'Cell 4 603'!BW9</f>
        <v>1188</v>
      </c>
      <c r="BK11" s="114">
        <f>+'Cell 4 603'!BX9</f>
        <v>1224</v>
      </c>
      <c r="BL11" s="114">
        <f>+'Cell 4 603'!BY9</f>
        <v>1160</v>
      </c>
      <c r="BM11" s="114">
        <f>+'Cell 4 603'!BZ9</f>
        <v>1626</v>
      </c>
      <c r="BN11" s="114">
        <f>+'Cell 4 603'!CA9</f>
        <v>1162</v>
      </c>
      <c r="BO11" s="114">
        <f>+'Cell 4 603'!CB9</f>
        <v>960</v>
      </c>
      <c r="BP11" s="114">
        <f>+'Cell 4 603'!CC9</f>
        <v>720</v>
      </c>
      <c r="BQ11" s="114">
        <f>+'Cell 4 603'!CD9</f>
        <v>708</v>
      </c>
      <c r="BR11" s="114">
        <f>+'Cell 4 603'!CE9</f>
        <v>1200</v>
      </c>
      <c r="BS11" s="114">
        <f>+'Cell 4 603'!CF9</f>
        <v>1056</v>
      </c>
      <c r="BT11" s="114">
        <f>+'Cell 4 603'!CG9</f>
        <v>1200</v>
      </c>
      <c r="BU11" s="114">
        <f>+'Cell 4 603'!CH9</f>
        <v>1272</v>
      </c>
      <c r="BV11" s="114">
        <f>+'Cell 4 603'!CI9</f>
        <v>510</v>
      </c>
      <c r="BW11" s="114">
        <f>+'Cell 4 603'!CJ9</f>
        <v>1926</v>
      </c>
      <c r="BX11" s="114">
        <f>+'Cell 4 603'!CK9</f>
        <v>1782</v>
      </c>
      <c r="BY11" s="114">
        <f>+'Cell 4 603'!CL9</f>
        <v>1068</v>
      </c>
      <c r="BZ11" s="41"/>
      <c r="CA11" s="42"/>
      <c r="CB11" s="42"/>
      <c r="CC11" s="43"/>
      <c r="CD11" s="43"/>
      <c r="CE11" s="41"/>
      <c r="CF11" s="41"/>
      <c r="CG11" s="41"/>
      <c r="CH11" s="41"/>
      <c r="CI11" s="42"/>
      <c r="CJ11" s="41"/>
      <c r="CK11" s="42"/>
      <c r="CL11" s="44"/>
      <c r="CM11" s="42"/>
      <c r="CN11" s="91"/>
      <c r="CO11" s="91"/>
      <c r="CP11" s="91"/>
      <c r="CQ11" s="91"/>
      <c r="CR11" s="91"/>
      <c r="CS11" s="91"/>
      <c r="CT11" s="91"/>
      <c r="CU11" s="91"/>
      <c r="CV11" s="91"/>
      <c r="CW11" s="91"/>
      <c r="CX11" s="91"/>
      <c r="CY11" s="91"/>
      <c r="CZ11" s="91"/>
      <c r="DA11" s="91"/>
      <c r="DB11" s="91"/>
      <c r="DC11" s="91"/>
      <c r="DD11" s="102"/>
      <c r="DE11" s="102"/>
      <c r="DF11" s="42"/>
      <c r="DG11" s="42"/>
      <c r="DH11" s="42"/>
      <c r="DI11" s="88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U11" s="171"/>
    </row>
    <row r="12" spans="1:153" ht="23.25" customHeight="1" x14ac:dyDescent="0.25">
      <c r="A12" s="54"/>
      <c r="B12" s="261"/>
      <c r="C12" s="240"/>
      <c r="D12" s="240"/>
      <c r="E12" s="240"/>
      <c r="F12" s="240"/>
      <c r="G12" s="167" t="s">
        <v>6</v>
      </c>
      <c r="H12" s="45">
        <f>H11/8</f>
        <v>58.5</v>
      </c>
      <c r="I12" s="45">
        <f>I11/8</f>
        <v>65.25</v>
      </c>
      <c r="J12" s="45">
        <f>J11/10</f>
        <v>30</v>
      </c>
      <c r="K12" s="45">
        <f>K11/8</f>
        <v>0</v>
      </c>
      <c r="L12" s="45">
        <f>+L11/8</f>
        <v>34.5</v>
      </c>
      <c r="M12" s="45">
        <f>+M11/8</f>
        <v>67.5</v>
      </c>
      <c r="N12" s="45">
        <f>N11/10</f>
        <v>44.4</v>
      </c>
      <c r="O12" s="46">
        <f>O11/10</f>
        <v>46.2</v>
      </c>
      <c r="P12" s="46">
        <f>P11/10</f>
        <v>60</v>
      </c>
      <c r="Q12" s="46">
        <f>Q11/10</f>
        <v>58.2</v>
      </c>
      <c r="R12" s="45">
        <f>SUM(R11:R11)/8</f>
        <v>53.625</v>
      </c>
      <c r="S12" s="45">
        <f>S11/8</f>
        <v>0</v>
      </c>
      <c r="T12" s="45">
        <f>T11/8</f>
        <v>0</v>
      </c>
      <c r="U12" s="45">
        <f>U11/8</f>
        <v>0</v>
      </c>
      <c r="V12" s="45">
        <f>V11/8</f>
        <v>0</v>
      </c>
      <c r="W12" s="45">
        <f>W11/8</f>
        <v>0</v>
      </c>
      <c r="X12" s="45">
        <f t="shared" ref="X12:AC12" si="8">SUM(X11:X11)/8</f>
        <v>0</v>
      </c>
      <c r="Y12" s="45">
        <f t="shared" si="8"/>
        <v>0</v>
      </c>
      <c r="Z12" s="45">
        <f t="shared" si="8"/>
        <v>0</v>
      </c>
      <c r="AA12" s="45">
        <f t="shared" si="8"/>
        <v>0</v>
      </c>
      <c r="AB12" s="45">
        <f t="shared" si="8"/>
        <v>0</v>
      </c>
      <c r="AC12" s="45">
        <f t="shared" si="8"/>
        <v>0</v>
      </c>
      <c r="AD12" s="45">
        <f>AD11/8</f>
        <v>0</v>
      </c>
      <c r="AE12" s="45">
        <f>AE11/8</f>
        <v>75</v>
      </c>
      <c r="AF12" s="45">
        <f>AF11/8</f>
        <v>75</v>
      </c>
      <c r="AG12" s="45">
        <f>AG11/10</f>
        <v>61.2</v>
      </c>
      <c r="AH12" s="45">
        <f>AH11/8</f>
        <v>84</v>
      </c>
      <c r="AI12" s="45">
        <f>+AI11/8</f>
        <v>43.5</v>
      </c>
      <c r="AJ12" s="45">
        <f>+AJ11/8</f>
        <v>58.5</v>
      </c>
      <c r="AK12" s="45">
        <f>AK11/9</f>
        <v>61.333333333333336</v>
      </c>
      <c r="AL12" s="45">
        <f>AL11/8</f>
        <v>39.5</v>
      </c>
      <c r="AM12" s="45">
        <f>AM11/8</f>
        <v>62.875</v>
      </c>
      <c r="AN12" s="45">
        <f>SUM(AN11:AN11)/8</f>
        <v>86.25</v>
      </c>
      <c r="AO12" s="45">
        <f>+'Cell 4 603'!BB10</f>
        <v>159.75</v>
      </c>
      <c r="AP12" s="45">
        <f>+'Cell 4 603'!BC10</f>
        <v>91.5</v>
      </c>
      <c r="AQ12" s="45">
        <f>+'Cell 4 603'!BD10</f>
        <v>82.5</v>
      </c>
      <c r="AR12" s="45">
        <f>+'Cell 4 603'!BE10</f>
        <v>75</v>
      </c>
      <c r="AS12" s="45">
        <f>+'Cell 4 603'!BF10</f>
        <v>0</v>
      </c>
      <c r="AT12" s="45">
        <f>+'Cell 4 603'!BG10</f>
        <v>0</v>
      </c>
      <c r="AU12" s="45">
        <f>+'Cell 4 603'!BH10</f>
        <v>88.5</v>
      </c>
      <c r="AV12" s="45">
        <f>+'Cell 4 603'!BI10</f>
        <v>75</v>
      </c>
      <c r="AW12" s="45">
        <f>+'Cell 4 603'!BJ10</f>
        <v>78.75</v>
      </c>
      <c r="AX12" s="45">
        <f>+'Cell 4 603'!BK10</f>
        <v>108</v>
      </c>
      <c r="AY12" s="45">
        <f>+'Cell 4 603'!BL10</f>
        <v>87.75</v>
      </c>
      <c r="AZ12" s="45">
        <f>+'Cell 4 603'!BM10</f>
        <v>51</v>
      </c>
      <c r="BA12" s="45">
        <f>+'Cell 4 603'!BN10</f>
        <v>70</v>
      </c>
      <c r="BB12" s="45">
        <f>+'Cell 4 603'!BO10</f>
        <v>78.666666666666671</v>
      </c>
      <c r="BC12" s="45">
        <f>+'Cell 4 603'!BP10</f>
        <v>79.333333333333329</v>
      </c>
      <c r="BD12" s="45">
        <f>+'Cell 4 603'!BQ10</f>
        <v>93.333333333333329</v>
      </c>
      <c r="BE12" s="45">
        <f>+'Cell 4 603'!BR10</f>
        <v>155.85714285714286</v>
      </c>
      <c r="BF12" s="45">
        <f>+'Cell 4 603'!BS10</f>
        <v>111.3</v>
      </c>
      <c r="BG12" s="45">
        <f>+'Cell 4 603'!BT10</f>
        <v>89.4</v>
      </c>
      <c r="BH12" s="45">
        <f>+'Cell 4 603'!BU10</f>
        <v>92.4</v>
      </c>
      <c r="BI12" s="45">
        <f>+'Cell 4 603'!BV10</f>
        <v>81.599999999999994</v>
      </c>
      <c r="BJ12" s="45">
        <f>+'Cell 4 603'!BW10</f>
        <v>118.8</v>
      </c>
      <c r="BK12" s="45">
        <f>+'Cell 4 603'!BX10</f>
        <v>122.4</v>
      </c>
      <c r="BL12" s="45">
        <f>+'Cell 4 603'!BY10</f>
        <v>116</v>
      </c>
      <c r="BM12" s="45">
        <f>+'Cell 4 603'!BZ10</f>
        <v>135.5</v>
      </c>
      <c r="BN12" s="45">
        <f>+'Cell 4 603'!CA10</f>
        <v>96.833333333333329</v>
      </c>
      <c r="BO12" s="45">
        <f>+'Cell 4 603'!CB10</f>
        <v>80</v>
      </c>
      <c r="BP12" s="45">
        <f>+'Cell 4 603'!CC10</f>
        <v>60</v>
      </c>
      <c r="BQ12" s="45">
        <f>+'Cell 4 603'!CD10</f>
        <v>88.5</v>
      </c>
      <c r="BR12" s="45">
        <f>+'Cell 4 603'!CE10</f>
        <v>109.09090909090909</v>
      </c>
      <c r="BS12" s="45">
        <f>+'Cell 4 603'!CF10</f>
        <v>96</v>
      </c>
      <c r="BT12" s="45">
        <f>+'Cell 4 603'!CG10</f>
        <v>109.09090909090909</v>
      </c>
      <c r="BU12" s="45">
        <f>+'Cell 4 603'!CH10</f>
        <v>115.63636363636364</v>
      </c>
      <c r="BV12" s="45">
        <f>+'Cell 4 603'!CI10</f>
        <v>46.363636363636367</v>
      </c>
      <c r="BW12" s="45">
        <f>+'Cell 4 603'!CJ10</f>
        <v>175.09090909090909</v>
      </c>
      <c r="BX12" s="45">
        <f>+'Cell 4 603'!CK10</f>
        <v>162</v>
      </c>
      <c r="BY12" s="45">
        <f>+'Cell 4 603'!CL10</f>
        <v>89</v>
      </c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U12" s="171"/>
    </row>
    <row r="13" spans="1:153" s="12" customFormat="1" ht="23.25" customHeight="1" x14ac:dyDescent="0.25">
      <c r="A13" s="55"/>
      <c r="B13" s="239" t="s">
        <v>21</v>
      </c>
      <c r="C13" s="239" t="s">
        <v>78</v>
      </c>
      <c r="D13" s="239">
        <v>27</v>
      </c>
      <c r="E13" s="239">
        <v>26</v>
      </c>
      <c r="F13" s="239">
        <f t="shared" ref="F13" si="9">+E13-D13:D13</f>
        <v>-1</v>
      </c>
      <c r="G13" s="167" t="str">
        <f>G11</f>
        <v>Output/Day</v>
      </c>
      <c r="H13" s="24">
        <v>126</v>
      </c>
      <c r="I13" s="24">
        <v>150</v>
      </c>
      <c r="J13" s="24">
        <v>144</v>
      </c>
      <c r="K13" s="47"/>
      <c r="L13" s="24">
        <v>222</v>
      </c>
      <c r="M13" s="24">
        <v>246</v>
      </c>
      <c r="N13" s="24">
        <v>216</v>
      </c>
      <c r="O13" s="24">
        <v>246</v>
      </c>
      <c r="P13" s="24">
        <v>246</v>
      </c>
      <c r="Q13" s="24">
        <v>288</v>
      </c>
      <c r="R13" s="24">
        <v>342</v>
      </c>
      <c r="S13" s="48"/>
      <c r="T13" s="48"/>
      <c r="U13" s="47"/>
      <c r="V13" s="47"/>
      <c r="W13" s="47"/>
      <c r="X13" s="47"/>
      <c r="Y13" s="47"/>
      <c r="Z13" s="48"/>
      <c r="AA13" s="47"/>
      <c r="AB13" s="48"/>
      <c r="AC13" s="48"/>
      <c r="AD13" s="47"/>
      <c r="AE13" s="47">
        <v>528</v>
      </c>
      <c r="AF13" s="47">
        <v>566</v>
      </c>
      <c r="AG13" s="47">
        <v>467</v>
      </c>
      <c r="AH13" s="47">
        <v>442</v>
      </c>
      <c r="AI13" s="47">
        <v>449</v>
      </c>
      <c r="AJ13" s="48">
        <v>583</v>
      </c>
      <c r="AK13" s="48">
        <v>692</v>
      </c>
      <c r="AL13" s="48">
        <v>714</v>
      </c>
      <c r="AM13" s="48">
        <v>774</v>
      </c>
      <c r="AN13" s="48">
        <v>798</v>
      </c>
      <c r="AO13" s="58">
        <f>+'Cell 5 603'!AS9</f>
        <v>960</v>
      </c>
      <c r="AP13" s="58">
        <f>+'Cell 5 603'!AT9</f>
        <v>708</v>
      </c>
      <c r="AQ13" s="58">
        <f>+'Cell 5 603'!AU9</f>
        <v>540</v>
      </c>
      <c r="AR13" s="58">
        <f>+'Cell 5 603'!AV9</f>
        <v>462</v>
      </c>
      <c r="AS13" s="58">
        <f>+'Cell 5 603'!AW9</f>
        <v>222</v>
      </c>
      <c r="AT13" s="58">
        <f>+'Cell 5 603'!AX9</f>
        <v>0</v>
      </c>
      <c r="AU13" s="58">
        <f>+'Cell 5 603'!AY9</f>
        <v>0</v>
      </c>
      <c r="AV13" s="58">
        <f>+'Cell 5 603'!AZ9</f>
        <v>584</v>
      </c>
      <c r="AW13" s="58">
        <f>+'Cell 5 603'!BA9</f>
        <v>936</v>
      </c>
      <c r="AX13" s="58">
        <f>+'Cell 5 603'!BB9</f>
        <v>1210</v>
      </c>
      <c r="AY13" s="58">
        <f>+'Cell 5 603'!BC9</f>
        <v>864</v>
      </c>
      <c r="AZ13" s="58">
        <f>+'Cell 5 603'!BD9</f>
        <v>504</v>
      </c>
      <c r="BA13" s="58">
        <f>+'Cell 5 603'!BE9</f>
        <v>504</v>
      </c>
      <c r="BB13" s="58">
        <f>+'Cell 5 603'!BF9</f>
        <v>504</v>
      </c>
      <c r="BC13" s="58">
        <f>+'Cell 5 603'!BG9</f>
        <v>850</v>
      </c>
      <c r="BD13" s="58">
        <f>+'Cell 5 603'!BH9</f>
        <v>794</v>
      </c>
      <c r="BE13" s="101">
        <f>+'Cell 5 603'!BI9</f>
        <v>1290</v>
      </c>
      <c r="BF13" s="101">
        <f>+'Cell 5 603'!BJ9</f>
        <v>1002</v>
      </c>
      <c r="BG13" s="24">
        <f>+'Cell 5 603'!BK9</f>
        <v>868</v>
      </c>
      <c r="BH13" s="24">
        <f>+'Cell 5 603'!BL9</f>
        <v>840</v>
      </c>
      <c r="BI13" s="24">
        <f>+'Cell 5 603'!BM9</f>
        <v>996</v>
      </c>
      <c r="BJ13" s="114">
        <f>+'Cell 5 603'!BN9</f>
        <v>1218</v>
      </c>
      <c r="BK13" s="114">
        <f>+'Cell 5 603'!BO9</f>
        <v>1110</v>
      </c>
      <c r="BL13" s="114">
        <f>+'Cell 5 603'!BP9</f>
        <v>1346</v>
      </c>
      <c r="BM13" s="114">
        <f>+'Cell 5 603'!BQ9</f>
        <v>1368</v>
      </c>
      <c r="BN13" s="114">
        <f>+'Cell 5 603'!BR9</f>
        <v>1134</v>
      </c>
      <c r="BO13" s="114">
        <f>+'Cell 5 603'!BS9</f>
        <v>1182</v>
      </c>
      <c r="BP13" s="114">
        <f>+'Cell 5 603'!BT9</f>
        <v>1164</v>
      </c>
      <c r="BQ13" s="114">
        <f>+'Cell 5 603'!BU9</f>
        <v>834</v>
      </c>
      <c r="BR13" s="114">
        <f>+'Cell 5 603'!BV9</f>
        <v>954</v>
      </c>
      <c r="BS13" s="114">
        <f>+'Cell 5 603'!BW9</f>
        <v>990</v>
      </c>
      <c r="BT13" s="114">
        <f>+'Cell 5 603'!BX9</f>
        <v>1212</v>
      </c>
      <c r="BU13" s="114">
        <f>+'Cell 5 603'!BY9</f>
        <v>1200</v>
      </c>
      <c r="BV13" s="114">
        <f>+'Cell 5 603'!BZ9</f>
        <v>1068</v>
      </c>
      <c r="BW13" s="114">
        <f>+'Cell 5 603'!CA9</f>
        <v>1612</v>
      </c>
      <c r="BX13" s="114">
        <f>+'Cell 5 603'!CB9</f>
        <v>2058</v>
      </c>
      <c r="BY13" s="114">
        <f>+'Cell 5 603'!CC9</f>
        <v>2292</v>
      </c>
      <c r="BZ13" s="47"/>
      <c r="CA13" s="48"/>
      <c r="CB13" s="48"/>
      <c r="CC13" s="47"/>
      <c r="CD13" s="47"/>
      <c r="CE13" s="47"/>
      <c r="CF13" s="47"/>
      <c r="CG13" s="47"/>
      <c r="CH13" s="47"/>
      <c r="CI13" s="48"/>
      <c r="CJ13" s="48"/>
      <c r="CK13" s="48"/>
      <c r="CL13" s="48"/>
      <c r="CM13" s="4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101"/>
      <c r="DE13" s="101"/>
      <c r="DF13" s="9"/>
      <c r="DG13" s="48"/>
      <c r="DH13" s="48"/>
      <c r="DI13" s="48"/>
      <c r="DJ13" s="60"/>
      <c r="DK13" s="60"/>
      <c r="DL13" s="60"/>
      <c r="DM13" s="60"/>
      <c r="DN13" s="58"/>
      <c r="DO13" s="58"/>
      <c r="DP13" s="60"/>
      <c r="DQ13" s="58"/>
      <c r="DR13" s="60"/>
      <c r="DS13" s="60"/>
      <c r="DT13" s="58"/>
      <c r="DU13" s="60"/>
      <c r="DV13" s="64"/>
      <c r="DW13" s="10"/>
      <c r="DX13" s="10"/>
      <c r="DY13" s="9"/>
      <c r="DZ13" s="10"/>
      <c r="EA13" s="9"/>
      <c r="EB13" s="48"/>
      <c r="EC13" s="48"/>
      <c r="ET13"/>
      <c r="EU13" s="171"/>
      <c r="EV13"/>
      <c r="EW13"/>
    </row>
    <row r="14" spans="1:153" ht="23.25" customHeight="1" x14ac:dyDescent="0.25">
      <c r="A14" s="54"/>
      <c r="B14" s="240"/>
      <c r="C14" s="240"/>
      <c r="D14" s="240"/>
      <c r="E14" s="240"/>
      <c r="F14" s="240"/>
      <c r="G14" s="167" t="s">
        <v>6</v>
      </c>
      <c r="H14" s="45">
        <f>H13/9</f>
        <v>14</v>
      </c>
      <c r="I14" s="45">
        <f>I13/9</f>
        <v>16.666666666666668</v>
      </c>
      <c r="J14" s="45">
        <f>J13/10</f>
        <v>14.4</v>
      </c>
      <c r="K14" s="45">
        <f>K13/9</f>
        <v>0</v>
      </c>
      <c r="L14" s="45">
        <f>+L13/9</f>
        <v>24.666666666666668</v>
      </c>
      <c r="M14" s="45">
        <f>+M13/9</f>
        <v>27.333333333333332</v>
      </c>
      <c r="N14" s="45">
        <f>N13/10</f>
        <v>21.6</v>
      </c>
      <c r="O14" s="45">
        <f>O13/10</f>
        <v>24.6</v>
      </c>
      <c r="P14" s="45">
        <f>P13/10</f>
        <v>24.6</v>
      </c>
      <c r="Q14" s="45">
        <f>Q13/10</f>
        <v>28.8</v>
      </c>
      <c r="R14" s="45">
        <f>SUM(R13:R13)/8</f>
        <v>42.75</v>
      </c>
      <c r="S14" s="45">
        <f>S13/8</f>
        <v>0</v>
      </c>
      <c r="T14" s="45">
        <f>T13/8</f>
        <v>0</v>
      </c>
      <c r="U14" s="45">
        <f>U13/8</f>
        <v>0</v>
      </c>
      <c r="V14" s="45">
        <f>V13/8</f>
        <v>0</v>
      </c>
      <c r="W14" s="45">
        <f>W13/8</f>
        <v>0</v>
      </c>
      <c r="X14" s="45">
        <f t="shared" ref="X14:AC14" si="10">SUM(X13:X13)/8</f>
        <v>0</v>
      </c>
      <c r="Y14" s="45">
        <f t="shared" si="10"/>
        <v>0</v>
      </c>
      <c r="Z14" s="45">
        <f t="shared" si="10"/>
        <v>0</v>
      </c>
      <c r="AA14" s="45">
        <f t="shared" si="10"/>
        <v>0</v>
      </c>
      <c r="AB14" s="45">
        <f t="shared" si="10"/>
        <v>0</v>
      </c>
      <c r="AC14" s="45">
        <f t="shared" si="10"/>
        <v>0</v>
      </c>
      <c r="AD14" s="45">
        <f>AD13/9</f>
        <v>0</v>
      </c>
      <c r="AE14" s="45">
        <f>AE13/9</f>
        <v>58.666666666666664</v>
      </c>
      <c r="AF14" s="45">
        <f>AF13/9</f>
        <v>62.888888888888886</v>
      </c>
      <c r="AG14" s="45">
        <f>AG13/10</f>
        <v>46.7</v>
      </c>
      <c r="AH14" s="45">
        <f>AH13/9</f>
        <v>49.111111111111114</v>
      </c>
      <c r="AI14" s="45">
        <f>+AI13/9</f>
        <v>49.888888888888886</v>
      </c>
      <c r="AJ14" s="45">
        <f>+AJ13/9</f>
        <v>64.777777777777771</v>
      </c>
      <c r="AK14" s="45">
        <f>AK13/9</f>
        <v>76.888888888888886</v>
      </c>
      <c r="AL14" s="45">
        <f>AL13/9</f>
        <v>79.333333333333329</v>
      </c>
      <c r="AM14" s="45">
        <f>AM13/9</f>
        <v>86</v>
      </c>
      <c r="AN14" s="45">
        <f>AN13/9</f>
        <v>88.666666666666671</v>
      </c>
      <c r="AO14" s="45">
        <f>+'Cell 5 603'!AS10</f>
        <v>106.66666666666667</v>
      </c>
      <c r="AP14" s="45">
        <f>+'Cell 5 603'!AT10</f>
        <v>88.5</v>
      </c>
      <c r="AQ14" s="45">
        <f>+'Cell 5 603'!AU10</f>
        <v>67.5</v>
      </c>
      <c r="AR14" s="45">
        <f>+'Cell 5 603'!AV10</f>
        <v>57.75</v>
      </c>
      <c r="AS14" s="45">
        <f>+'Cell 5 603'!AW10</f>
        <v>27.75</v>
      </c>
      <c r="AT14" s="45">
        <f>+'Cell 5 603'!AX10</f>
        <v>0</v>
      </c>
      <c r="AU14" s="45">
        <f>+'Cell 5 603'!AY10</f>
        <v>0</v>
      </c>
      <c r="AV14" s="45">
        <f>+'Cell 5 603'!AZ10</f>
        <v>64.888888888888886</v>
      </c>
      <c r="AW14" s="45">
        <f>+'Cell 5 603'!BA10</f>
        <v>117</v>
      </c>
      <c r="AX14" s="45">
        <f>+'Cell 5 603'!BB10</f>
        <v>151.25</v>
      </c>
      <c r="AY14" s="45">
        <f>+'Cell 5 603'!BC10</f>
        <v>108</v>
      </c>
      <c r="AZ14" s="45">
        <f>+'Cell 5 603'!BD10</f>
        <v>63</v>
      </c>
      <c r="BA14" s="45">
        <f>+'Cell 5 603'!BE10</f>
        <v>63</v>
      </c>
      <c r="BB14" s="45">
        <f>+'Cell 5 603'!BF10</f>
        <v>63</v>
      </c>
      <c r="BC14" s="45">
        <f>+'Cell 5 603'!BG10</f>
        <v>106.25</v>
      </c>
      <c r="BD14" s="45">
        <f>+'Cell 5 603'!BH10</f>
        <v>99.25</v>
      </c>
      <c r="BE14" s="45">
        <f>+'Cell 5 603'!BI10</f>
        <v>184.28571428571428</v>
      </c>
      <c r="BF14" s="45">
        <f>+'Cell 5 603'!BJ10</f>
        <v>100.2</v>
      </c>
      <c r="BG14" s="45">
        <f>+'Cell 5 603'!BK10</f>
        <v>86.8</v>
      </c>
      <c r="BH14" s="45">
        <f>+'Cell 5 603'!BL10</f>
        <v>84</v>
      </c>
      <c r="BI14" s="45">
        <f>+'Cell 5 603'!BM10</f>
        <v>99.6</v>
      </c>
      <c r="BJ14" s="45">
        <f>+'Cell 5 603'!BN10</f>
        <v>121.8</v>
      </c>
      <c r="BK14" s="45">
        <f>+'Cell 5 603'!BO10</f>
        <v>111</v>
      </c>
      <c r="BL14" s="45">
        <f>+'Cell 5 603'!BP10</f>
        <v>134.6</v>
      </c>
      <c r="BM14" s="45">
        <f>+'Cell 5 603'!BQ10</f>
        <v>114</v>
      </c>
      <c r="BN14" s="45">
        <f>+'Cell 5 603'!BR10</f>
        <v>94.5</v>
      </c>
      <c r="BO14" s="45">
        <f>+'Cell 5 603'!BS10</f>
        <v>98.5</v>
      </c>
      <c r="BP14" s="45">
        <f>+'Cell 5 603'!BT10</f>
        <v>97</v>
      </c>
      <c r="BQ14" s="45">
        <f>+'Cell 5 603'!BU10</f>
        <v>104.25</v>
      </c>
      <c r="BR14" s="45">
        <f>+'Cell 5 603'!BV10</f>
        <v>86.727272727272734</v>
      </c>
      <c r="BS14" s="45">
        <f>+'Cell 5 603'!BW10</f>
        <v>90</v>
      </c>
      <c r="BT14" s="45">
        <f>+'Cell 5 603'!BX10</f>
        <v>110.18181818181819</v>
      </c>
      <c r="BU14" s="45">
        <f>+'Cell 5 603'!BY10</f>
        <v>109.09090909090909</v>
      </c>
      <c r="BV14" s="45">
        <f>+'Cell 5 603'!BZ10</f>
        <v>89</v>
      </c>
      <c r="BW14" s="45">
        <f>+'Cell 5 603'!CA10</f>
        <v>134.33333333333334</v>
      </c>
      <c r="BX14" s="45">
        <f>+'Cell 5 603'!CB10</f>
        <v>171.5</v>
      </c>
      <c r="BY14" s="45">
        <f>+'Cell 5 603'!CC10</f>
        <v>191</v>
      </c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U14" s="171"/>
    </row>
    <row r="15" spans="1:153" ht="23.25" customHeight="1" x14ac:dyDescent="0.25">
      <c r="A15" s="54"/>
      <c r="B15" s="260" t="s">
        <v>35</v>
      </c>
      <c r="C15" s="239" t="s">
        <v>85</v>
      </c>
      <c r="D15" s="239">
        <v>27</v>
      </c>
      <c r="E15" s="239">
        <v>22</v>
      </c>
      <c r="F15" s="239">
        <f t="shared" ref="F15:F17" si="11">+E15-D15:D15</f>
        <v>-5</v>
      </c>
      <c r="G15" s="167" t="s">
        <v>10</v>
      </c>
      <c r="H15" s="24">
        <v>468</v>
      </c>
      <c r="I15" s="24">
        <v>522</v>
      </c>
      <c r="J15" s="24">
        <v>300</v>
      </c>
      <c r="K15" s="41"/>
      <c r="L15" s="24">
        <v>276</v>
      </c>
      <c r="M15" s="24">
        <v>540</v>
      </c>
      <c r="N15" s="24">
        <v>444</v>
      </c>
      <c r="O15" s="24">
        <v>462</v>
      </c>
      <c r="P15" s="24">
        <v>600</v>
      </c>
      <c r="Q15" s="24">
        <v>582</v>
      </c>
      <c r="R15" s="24">
        <v>429</v>
      </c>
      <c r="S15" s="42"/>
      <c r="T15" s="42"/>
      <c r="U15" s="42"/>
      <c r="V15" s="41"/>
      <c r="W15" s="41"/>
      <c r="X15" s="41"/>
      <c r="Y15" s="41"/>
      <c r="Z15" s="42"/>
      <c r="AA15" s="41"/>
      <c r="AB15" s="42"/>
      <c r="AC15" s="42"/>
      <c r="AD15" s="43"/>
      <c r="AE15" s="43">
        <v>600</v>
      </c>
      <c r="AF15" s="41">
        <v>600</v>
      </c>
      <c r="AG15" s="41">
        <v>612</v>
      </c>
      <c r="AH15" s="41">
        <v>672</v>
      </c>
      <c r="AI15" s="41">
        <v>348</v>
      </c>
      <c r="AJ15" s="42">
        <v>468</v>
      </c>
      <c r="AK15" s="41">
        <v>552</v>
      </c>
      <c r="AL15" s="42">
        <v>316</v>
      </c>
      <c r="AM15" s="44">
        <v>503</v>
      </c>
      <c r="AN15" s="42">
        <v>690</v>
      </c>
      <c r="AO15" s="91">
        <f>+'Cell 4 603'!BB13</f>
        <v>636</v>
      </c>
      <c r="AP15" s="91">
        <f>+'Cell 4 603'!BC13</f>
        <v>702</v>
      </c>
      <c r="AQ15" s="91">
        <f>+'Cell 4 603'!BD13</f>
        <v>630</v>
      </c>
      <c r="AR15" s="91">
        <f>+'Cell 4 603'!BE13</f>
        <v>546</v>
      </c>
      <c r="AS15" s="91">
        <f>+'Cell 4 603'!BF13</f>
        <v>540</v>
      </c>
      <c r="AT15" s="91">
        <f>+'Cell 4 603'!BG13</f>
        <v>510</v>
      </c>
      <c r="AU15" s="91">
        <f>+'Cell 4 603'!BH13</f>
        <v>600</v>
      </c>
      <c r="AV15" s="91">
        <f>+'Cell 4 603'!BI13</f>
        <v>600</v>
      </c>
      <c r="AW15" s="91">
        <f>+'Cell 4 603'!BJ13</f>
        <v>600</v>
      </c>
      <c r="AX15" s="91">
        <f>+'Cell 4 603'!BK13</f>
        <v>660</v>
      </c>
      <c r="AY15" s="91">
        <f>+'Cell 4 603'!BL13</f>
        <v>702</v>
      </c>
      <c r="AZ15" s="91">
        <f>+'Cell 4 603'!BM13</f>
        <v>702</v>
      </c>
      <c r="BA15" s="91">
        <f>+'Cell 4 603'!BN13</f>
        <v>600</v>
      </c>
      <c r="BB15" s="91">
        <f>+'Cell 4 603'!BO13</f>
        <v>600</v>
      </c>
      <c r="BC15" s="91">
        <f>+'Cell 4 603'!BP13</f>
        <v>720</v>
      </c>
      <c r="BD15" s="91">
        <f>+'Cell 4 603'!BQ13</f>
        <v>720</v>
      </c>
      <c r="BE15" s="102">
        <f>+'Cell 4 603'!BR13</f>
        <v>810</v>
      </c>
      <c r="BF15" s="102"/>
      <c r="BG15" s="24"/>
      <c r="BH15" s="24"/>
      <c r="BI15" s="24"/>
      <c r="BJ15" s="114">
        <f>+'Cell 9 603'!F9</f>
        <v>1074</v>
      </c>
      <c r="BK15" s="24">
        <f>+'Cell 9 603'!G9</f>
        <v>576</v>
      </c>
      <c r="BL15" s="24">
        <f>+'Cell 9 603'!H9</f>
        <v>84</v>
      </c>
      <c r="BM15" s="24">
        <f>+'Cell 9 603'!I9</f>
        <v>240</v>
      </c>
      <c r="BN15" s="24">
        <f>+'Cell 9 603'!J9</f>
        <v>228</v>
      </c>
      <c r="BO15" s="24">
        <f>+'Cell 9 603'!K9</f>
        <v>198</v>
      </c>
      <c r="BP15" s="24">
        <f>+'Cell 9 603'!L9</f>
        <v>222</v>
      </c>
      <c r="BQ15" s="24">
        <f>+'Cell 9 603'!M9</f>
        <v>222</v>
      </c>
      <c r="BR15" s="24">
        <f>+'Cell 9 603'!N9</f>
        <v>288</v>
      </c>
      <c r="BS15" s="24">
        <f>+'Cell 9 603'!O9</f>
        <v>384</v>
      </c>
      <c r="BT15" s="24">
        <f>+'Cell 9 603'!P9</f>
        <v>336</v>
      </c>
      <c r="BU15" s="24">
        <f>+'Cell 9 603'!Q9</f>
        <v>0</v>
      </c>
      <c r="BV15" s="24">
        <f>+'Cell 9 603'!R9</f>
        <v>132</v>
      </c>
      <c r="BW15" s="24">
        <f>+'Cell 9 603'!S9</f>
        <v>372</v>
      </c>
      <c r="BX15" s="24">
        <f>+'Cell 9 603'!T9</f>
        <v>0</v>
      </c>
      <c r="BY15" s="24">
        <f>+'Cell 9 603'!U9</f>
        <v>762</v>
      </c>
      <c r="BZ15" s="41"/>
      <c r="CA15" s="42"/>
      <c r="CB15" s="42"/>
      <c r="CC15" s="43"/>
      <c r="CD15" s="43"/>
      <c r="CE15" s="41"/>
      <c r="CF15" s="41"/>
      <c r="CG15" s="41"/>
      <c r="CH15" s="41"/>
      <c r="CI15" s="42"/>
      <c r="CJ15" s="41"/>
      <c r="CK15" s="42"/>
      <c r="CL15" s="44"/>
      <c r="CM15" s="42"/>
      <c r="CN15" s="91"/>
      <c r="CO15" s="91"/>
      <c r="CP15" s="91"/>
      <c r="CQ15" s="91"/>
      <c r="CR15" s="91"/>
      <c r="CS15" s="91"/>
      <c r="CT15" s="91"/>
      <c r="CU15" s="91"/>
      <c r="CV15" s="91"/>
      <c r="CW15" s="91"/>
      <c r="CX15" s="91"/>
      <c r="CY15" s="91"/>
      <c r="CZ15" s="91"/>
      <c r="DA15" s="91"/>
      <c r="DB15" s="91"/>
      <c r="DC15" s="91"/>
      <c r="DD15" s="102"/>
      <c r="DE15" s="102"/>
      <c r="DF15" s="42"/>
      <c r="DG15" s="42"/>
      <c r="DH15" s="42"/>
      <c r="DI15" s="88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</row>
    <row r="16" spans="1:153" ht="23.25" customHeight="1" x14ac:dyDescent="0.25">
      <c r="A16" s="54"/>
      <c r="B16" s="261"/>
      <c r="C16" s="240"/>
      <c r="D16" s="240"/>
      <c r="E16" s="240"/>
      <c r="F16" s="240"/>
      <c r="G16" s="167" t="s">
        <v>6</v>
      </c>
      <c r="H16" s="45">
        <f>H15/8</f>
        <v>58.5</v>
      </c>
      <c r="I16" s="45">
        <f>I15/8</f>
        <v>65.25</v>
      </c>
      <c r="J16" s="45">
        <f>J15/10</f>
        <v>30</v>
      </c>
      <c r="K16" s="45">
        <f>K15/8</f>
        <v>0</v>
      </c>
      <c r="L16" s="45">
        <f>+L15/8</f>
        <v>34.5</v>
      </c>
      <c r="M16" s="45">
        <f>+M15/8</f>
        <v>67.5</v>
      </c>
      <c r="N16" s="45">
        <f>N15/10</f>
        <v>44.4</v>
      </c>
      <c r="O16" s="46">
        <f>O15/10</f>
        <v>46.2</v>
      </c>
      <c r="P16" s="46">
        <f>P15/10</f>
        <v>60</v>
      </c>
      <c r="Q16" s="46">
        <f>Q15/10</f>
        <v>58.2</v>
      </c>
      <c r="R16" s="45">
        <f>SUM(R15:R15)/8</f>
        <v>53.625</v>
      </c>
      <c r="S16" s="45">
        <f>S15/8</f>
        <v>0</v>
      </c>
      <c r="T16" s="45">
        <f>T15/8</f>
        <v>0</v>
      </c>
      <c r="U16" s="45">
        <f>U15/8</f>
        <v>0</v>
      </c>
      <c r="V16" s="45">
        <f>V15/8</f>
        <v>0</v>
      </c>
      <c r="W16" s="45">
        <f>W15/8</f>
        <v>0</v>
      </c>
      <c r="X16" s="45">
        <f t="shared" ref="X16:AC16" si="12">SUM(X15:X15)/8</f>
        <v>0</v>
      </c>
      <c r="Y16" s="45">
        <f t="shared" si="12"/>
        <v>0</v>
      </c>
      <c r="Z16" s="45">
        <f t="shared" si="12"/>
        <v>0</v>
      </c>
      <c r="AA16" s="45">
        <f t="shared" si="12"/>
        <v>0</v>
      </c>
      <c r="AB16" s="45">
        <f t="shared" si="12"/>
        <v>0</v>
      </c>
      <c r="AC16" s="45">
        <f t="shared" si="12"/>
        <v>0</v>
      </c>
      <c r="AD16" s="45">
        <f>AD15/8</f>
        <v>0</v>
      </c>
      <c r="AE16" s="45">
        <f>AE15/8</f>
        <v>75</v>
      </c>
      <c r="AF16" s="45">
        <f>AF15/8</f>
        <v>75</v>
      </c>
      <c r="AG16" s="45">
        <f>AG15/10</f>
        <v>61.2</v>
      </c>
      <c r="AH16" s="45">
        <f>AH15/8</f>
        <v>84</v>
      </c>
      <c r="AI16" s="45">
        <f>+AI15/8</f>
        <v>43.5</v>
      </c>
      <c r="AJ16" s="45">
        <f>+AJ15/8</f>
        <v>58.5</v>
      </c>
      <c r="AK16" s="45">
        <f>AK15/9</f>
        <v>61.333333333333336</v>
      </c>
      <c r="AL16" s="45">
        <f>AL15/8</f>
        <v>39.5</v>
      </c>
      <c r="AM16" s="45">
        <f>AM15/8</f>
        <v>62.875</v>
      </c>
      <c r="AN16" s="45">
        <f>SUM(AN15:AN15)/8</f>
        <v>86.25</v>
      </c>
      <c r="AO16" s="45">
        <f>+'Cell 4 603'!BB14</f>
        <v>63.6</v>
      </c>
      <c r="AP16" s="45">
        <f>+'Cell 4 603'!BC14</f>
        <v>70.2</v>
      </c>
      <c r="AQ16" s="45">
        <f>+'Cell 4 603'!BD14</f>
        <v>63</v>
      </c>
      <c r="AR16" s="45">
        <f>+'Cell 4 603'!BE14</f>
        <v>54.6</v>
      </c>
      <c r="AS16" s="45">
        <f>+'Cell 4 603'!BF14</f>
        <v>54</v>
      </c>
      <c r="AT16" s="45">
        <f>+'Cell 4 603'!BG14</f>
        <v>51</v>
      </c>
      <c r="AU16" s="45">
        <f>+'Cell 4 603'!BH14</f>
        <v>60</v>
      </c>
      <c r="AV16" s="45">
        <f>+'Cell 4 603'!BI14</f>
        <v>60</v>
      </c>
      <c r="AW16" s="45">
        <f>+'Cell 4 603'!BJ14</f>
        <v>60</v>
      </c>
      <c r="AX16" s="45">
        <f>+'Cell 4 603'!BK14</f>
        <v>66</v>
      </c>
      <c r="AY16" s="45">
        <f>+'Cell 4 603'!BL14</f>
        <v>70.2</v>
      </c>
      <c r="AZ16" s="45">
        <f>+'Cell 4 603'!BM14</f>
        <v>70.2</v>
      </c>
      <c r="BA16" s="45">
        <f>+'Cell 4 603'!BN14</f>
        <v>60</v>
      </c>
      <c r="BB16" s="45">
        <f>+'Cell 4 603'!BO14</f>
        <v>60</v>
      </c>
      <c r="BC16" s="45">
        <f>+'Cell 4 603'!BP14</f>
        <v>72</v>
      </c>
      <c r="BD16" s="45">
        <f>+'Cell 4 603'!BQ14</f>
        <v>72</v>
      </c>
      <c r="BE16" s="45">
        <f>+'Cell 4 603'!BR14</f>
        <v>81</v>
      </c>
      <c r="BF16" s="45"/>
      <c r="BG16" s="45"/>
      <c r="BH16" s="45"/>
      <c r="BI16" s="45"/>
      <c r="BJ16" s="45">
        <f>+'Cell 9 603'!F10</f>
        <v>107.4</v>
      </c>
      <c r="BK16" s="45">
        <f>+'Cell 9 603'!G10</f>
        <v>57.6</v>
      </c>
      <c r="BL16" s="45">
        <f>+'Cell 9 603'!H10</f>
        <v>8.4</v>
      </c>
      <c r="BM16" s="45">
        <f>+'Cell 9 603'!I10</f>
        <v>30</v>
      </c>
      <c r="BN16" s="45">
        <f>+'Cell 9 603'!J10</f>
        <v>28.5</v>
      </c>
      <c r="BO16" s="45">
        <f>+'Cell 9 603'!K10</f>
        <v>24.75</v>
      </c>
      <c r="BP16" s="45">
        <f>+'Cell 9 603'!L10</f>
        <v>27.75</v>
      </c>
      <c r="BQ16" s="45">
        <f>+'Cell 9 603'!M10</f>
        <v>27.75</v>
      </c>
      <c r="BR16" s="45">
        <f>+'Cell 9 603'!N10</f>
        <v>36</v>
      </c>
      <c r="BS16" s="45">
        <f>+'Cell 9 603'!O10</f>
        <v>48</v>
      </c>
      <c r="BT16" s="45">
        <f>+'Cell 9 603'!P10</f>
        <v>42</v>
      </c>
      <c r="BU16" s="45">
        <f>+'Cell 9 603'!Q10</f>
        <v>0</v>
      </c>
      <c r="BV16" s="45">
        <f>+'Cell 9 603'!R10</f>
        <v>16.5</v>
      </c>
      <c r="BW16" s="45">
        <f>+'Cell 9 603'!S10</f>
        <v>46.5</v>
      </c>
      <c r="BX16" s="45">
        <f>+'Cell 9 603'!T10</f>
        <v>0</v>
      </c>
      <c r="BY16" s="45">
        <f>+'Cell 9 603'!U10</f>
        <v>95.25</v>
      </c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</row>
    <row r="17" spans="1:153" s="12" customFormat="1" ht="23.25" customHeight="1" x14ac:dyDescent="0.25">
      <c r="A17" s="55"/>
      <c r="B17" s="239" t="s">
        <v>20</v>
      </c>
      <c r="C17" s="239" t="s">
        <v>83</v>
      </c>
      <c r="D17" s="239">
        <v>27</v>
      </c>
      <c r="E17" s="239">
        <v>25</v>
      </c>
      <c r="F17" s="239">
        <f t="shared" si="11"/>
        <v>-2</v>
      </c>
      <c r="G17" s="167" t="str">
        <f>G11</f>
        <v>Output/Day</v>
      </c>
      <c r="H17" s="24">
        <v>72</v>
      </c>
      <c r="I17" s="24">
        <v>126</v>
      </c>
      <c r="J17" s="24">
        <v>150</v>
      </c>
      <c r="K17" s="47"/>
      <c r="L17" s="24">
        <v>107</v>
      </c>
      <c r="M17" s="24">
        <v>270</v>
      </c>
      <c r="N17" s="24">
        <v>180</v>
      </c>
      <c r="O17" s="24">
        <v>246</v>
      </c>
      <c r="P17" s="24">
        <v>342</v>
      </c>
      <c r="Q17" s="24">
        <v>402</v>
      </c>
      <c r="R17" s="24">
        <v>420</v>
      </c>
      <c r="S17" s="48"/>
      <c r="T17" s="48"/>
      <c r="U17" s="47"/>
      <c r="V17" s="47"/>
      <c r="W17" s="47"/>
      <c r="X17" s="47"/>
      <c r="Y17" s="47"/>
      <c r="Z17" s="48"/>
      <c r="AA17" s="47"/>
      <c r="AB17" s="48"/>
      <c r="AC17" s="48"/>
      <c r="AD17" s="47"/>
      <c r="AE17" s="47">
        <v>541</v>
      </c>
      <c r="AF17" s="47">
        <v>600</v>
      </c>
      <c r="AG17" s="47">
        <v>504</v>
      </c>
      <c r="AH17" s="47">
        <v>722</v>
      </c>
      <c r="AI17" s="47">
        <v>504</v>
      </c>
      <c r="AJ17" s="48">
        <v>540</v>
      </c>
      <c r="AK17" s="48">
        <v>612</v>
      </c>
      <c r="AL17" s="48">
        <v>703</v>
      </c>
      <c r="AM17" s="48">
        <v>774</v>
      </c>
      <c r="AN17" s="48">
        <v>800</v>
      </c>
      <c r="AO17" s="58">
        <f>+'Cell 10 603'!AI9</f>
        <v>636</v>
      </c>
      <c r="AP17" s="58">
        <f>+'Cell 10 603'!AJ9</f>
        <v>456</v>
      </c>
      <c r="AQ17" s="58">
        <f>+'Cell 10 603'!AK9</f>
        <v>504</v>
      </c>
      <c r="AR17" s="58">
        <f>+'Cell 10 603'!AL9</f>
        <v>0</v>
      </c>
      <c r="AS17" s="58">
        <f>+'Cell 10 603'!AM9</f>
        <v>0</v>
      </c>
      <c r="AT17" s="58">
        <f>+'Cell 10 603'!AN9</f>
        <v>504</v>
      </c>
      <c r="AU17" s="58">
        <f>+'Cell 10 603'!AO9</f>
        <v>504</v>
      </c>
      <c r="AV17" s="58">
        <f>+'Cell 10 603'!AP9</f>
        <v>708</v>
      </c>
      <c r="AW17" s="58">
        <f>+'Cell 10 603'!AQ9</f>
        <v>910</v>
      </c>
      <c r="AX17" s="58">
        <f>+'Cell 10 603'!AR9</f>
        <v>0</v>
      </c>
      <c r="AY17" s="58">
        <f>+'Cell 10 603'!AS9</f>
        <v>720</v>
      </c>
      <c r="AZ17" s="58">
        <f>+'Cell 10 603'!AT9</f>
        <v>708</v>
      </c>
      <c r="BA17" s="58">
        <f>+'Cell 10 603'!AU9</f>
        <v>516</v>
      </c>
      <c r="BB17" s="58">
        <f>+'Cell 10 603'!AV9</f>
        <v>504</v>
      </c>
      <c r="BC17" s="58">
        <f>+'Cell 10 603'!AW9</f>
        <v>738</v>
      </c>
      <c r="BD17" s="58">
        <f>+'Cell 10 603'!AX9</f>
        <v>702</v>
      </c>
      <c r="BE17" s="58">
        <f>+'Cell 10 603'!AY9</f>
        <v>1080</v>
      </c>
      <c r="BF17" s="58">
        <f>+'Cell 10 603'!AZ9</f>
        <v>804</v>
      </c>
      <c r="BG17" s="24">
        <f>+'Cell 10 603'!BA9</f>
        <v>834</v>
      </c>
      <c r="BH17" s="24">
        <f>+'Cell 10 603'!BB9</f>
        <v>912</v>
      </c>
      <c r="BI17" s="24">
        <f>+'Cell 10 603'!BC9</f>
        <v>504</v>
      </c>
      <c r="BJ17" s="24">
        <f>+'Cell 10 603'!BD9</f>
        <v>894</v>
      </c>
      <c r="BK17" s="114">
        <f>+'Cell 10 603'!BE9</f>
        <v>1020</v>
      </c>
      <c r="BL17" s="114">
        <f>+'Cell 10 603'!BF9</f>
        <v>1122</v>
      </c>
      <c r="BM17" s="114">
        <f>+'Cell 10 603'!BG9</f>
        <v>1086</v>
      </c>
      <c r="BN17" s="114">
        <f>+'Cell 10 603'!BH9</f>
        <v>1104</v>
      </c>
      <c r="BO17" s="114">
        <f>+'Cell 10 603'!BI9</f>
        <v>972</v>
      </c>
      <c r="BP17" s="114">
        <f>+'Cell 10 603'!BJ9</f>
        <v>882</v>
      </c>
      <c r="BQ17" s="114">
        <f>+'Cell 10 603'!BK9</f>
        <v>756</v>
      </c>
      <c r="BR17" s="114">
        <f>+'Cell 10 603'!BL9</f>
        <v>1044</v>
      </c>
      <c r="BS17" s="114">
        <f>+'Cell 10 603'!BM9</f>
        <v>1284</v>
      </c>
      <c r="BT17" s="114">
        <f>+'Cell 10 603'!BN9</f>
        <v>0</v>
      </c>
      <c r="BU17" s="114">
        <f>+'Cell 10 603'!BO9</f>
        <v>720</v>
      </c>
      <c r="BV17" s="114">
        <f>+'Cell 10 603'!BP9</f>
        <v>612</v>
      </c>
      <c r="BW17" s="114">
        <f>+'Cell 10 603'!BQ9</f>
        <v>1036</v>
      </c>
      <c r="BX17" s="114">
        <f>+'Cell 10 603'!BR9</f>
        <v>1308</v>
      </c>
      <c r="BY17" s="114">
        <f>+'Cell 10 603'!BS9</f>
        <v>870</v>
      </c>
      <c r="BZ17" s="47"/>
      <c r="CA17" s="48"/>
      <c r="CB17" s="48"/>
      <c r="CC17" s="47"/>
      <c r="CD17" s="47"/>
      <c r="CE17" s="47"/>
      <c r="CF17" s="47"/>
      <c r="CG17" s="47"/>
      <c r="CH17" s="47"/>
      <c r="CI17" s="48"/>
      <c r="CJ17" s="48"/>
      <c r="CK17" s="48"/>
      <c r="CL17" s="48"/>
      <c r="CM17" s="4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T17"/>
      <c r="EU17"/>
      <c r="EV17"/>
      <c r="EW17"/>
    </row>
    <row r="18" spans="1:153" ht="23.25" customHeight="1" x14ac:dyDescent="0.25">
      <c r="A18" s="54"/>
      <c r="B18" s="240"/>
      <c r="C18" s="240"/>
      <c r="D18" s="240"/>
      <c r="E18" s="240"/>
      <c r="F18" s="240"/>
      <c r="G18" s="167" t="s">
        <v>6</v>
      </c>
      <c r="H18" s="45">
        <f>H17/9</f>
        <v>8</v>
      </c>
      <c r="I18" s="45">
        <f>I17/9</f>
        <v>14</v>
      </c>
      <c r="J18" s="45">
        <f>J17/9</f>
        <v>16.666666666666668</v>
      </c>
      <c r="K18" s="45">
        <f t="shared" ref="K18:Q18" si="13">K17/9</f>
        <v>0</v>
      </c>
      <c r="L18" s="45">
        <f>+L17/9</f>
        <v>11.888888888888889</v>
      </c>
      <c r="M18" s="45">
        <f>+M17/9</f>
        <v>30</v>
      </c>
      <c r="N18" s="45">
        <f t="shared" si="13"/>
        <v>20</v>
      </c>
      <c r="O18" s="45">
        <f t="shared" si="13"/>
        <v>27.333333333333332</v>
      </c>
      <c r="P18" s="45">
        <f t="shared" si="13"/>
        <v>38</v>
      </c>
      <c r="Q18" s="45">
        <f t="shared" si="13"/>
        <v>44.666666666666664</v>
      </c>
      <c r="R18" s="45">
        <f>SUM(R17:R17)/8</f>
        <v>52.5</v>
      </c>
      <c r="S18" s="45">
        <f>S17/8</f>
        <v>0</v>
      </c>
      <c r="T18" s="45">
        <f>T17/8</f>
        <v>0</v>
      </c>
      <c r="U18" s="45">
        <f>U17/8</f>
        <v>0</v>
      </c>
      <c r="V18" s="45">
        <f>V17/8</f>
        <v>0</v>
      </c>
      <c r="W18" s="45">
        <f>W17/8</f>
        <v>0</v>
      </c>
      <c r="X18" s="45">
        <f t="shared" ref="X18:AC18" si="14">SUM(X17:X17)/8</f>
        <v>0</v>
      </c>
      <c r="Y18" s="45">
        <f t="shared" si="14"/>
        <v>0</v>
      </c>
      <c r="Z18" s="45">
        <f t="shared" si="14"/>
        <v>0</v>
      </c>
      <c r="AA18" s="45">
        <f t="shared" si="14"/>
        <v>0</v>
      </c>
      <c r="AB18" s="45">
        <f t="shared" si="14"/>
        <v>0</v>
      </c>
      <c r="AC18" s="45">
        <f t="shared" si="14"/>
        <v>0</v>
      </c>
      <c r="AD18" s="45">
        <f>AD17/9</f>
        <v>0</v>
      </c>
      <c r="AE18" s="45">
        <f>AE17/9</f>
        <v>60.111111111111114</v>
      </c>
      <c r="AF18" s="45">
        <f>AF17/9</f>
        <v>66.666666666666671</v>
      </c>
      <c r="AG18" s="45">
        <f>AG17/9</f>
        <v>56</v>
      </c>
      <c r="AH18" s="45">
        <f>AH17/9</f>
        <v>80.222222222222229</v>
      </c>
      <c r="AI18" s="45">
        <f>+AI17/9</f>
        <v>56</v>
      </c>
      <c r="AJ18" s="45">
        <f>+AJ17/9</f>
        <v>60</v>
      </c>
      <c r="AK18" s="45">
        <f>AK17/9</f>
        <v>68</v>
      </c>
      <c r="AL18" s="45">
        <f>AL17/9</f>
        <v>78.111111111111114</v>
      </c>
      <c r="AM18" s="45">
        <f>AM17/9</f>
        <v>86</v>
      </c>
      <c r="AN18" s="45">
        <f>AN17/9</f>
        <v>88.888888888888886</v>
      </c>
      <c r="AO18" s="45">
        <f>+'Cell 10 603'!AI10</f>
        <v>79.5</v>
      </c>
      <c r="AP18" s="45">
        <f>+'Cell 10 603'!AJ10</f>
        <v>57</v>
      </c>
      <c r="AQ18" s="45">
        <f>+'Cell 10 603'!AK10</f>
        <v>63</v>
      </c>
      <c r="AR18" s="45">
        <f>+'Cell 10 603'!AL10</f>
        <v>0</v>
      </c>
      <c r="AS18" s="45">
        <f>+'Cell 10 603'!AM10</f>
        <v>0</v>
      </c>
      <c r="AT18" s="45">
        <f>+'Cell 10 603'!AN10</f>
        <v>63</v>
      </c>
      <c r="AU18" s="45">
        <f>+'Cell 10 603'!AO10</f>
        <v>63</v>
      </c>
      <c r="AV18" s="45">
        <f>+'Cell 10 603'!AP10</f>
        <v>88.5</v>
      </c>
      <c r="AW18" s="45">
        <f>+'Cell 10 603'!AQ10</f>
        <v>113.75</v>
      </c>
      <c r="AX18" s="45">
        <f>+'Cell 10 603'!AR10</f>
        <v>0</v>
      </c>
      <c r="AY18" s="45">
        <f>+'Cell 10 603'!AS10</f>
        <v>90</v>
      </c>
      <c r="AZ18" s="45">
        <f>+'Cell 10 603'!AT10</f>
        <v>78.666666666666671</v>
      </c>
      <c r="BA18" s="45">
        <f>+'Cell 10 603'!AU10</f>
        <v>64.5</v>
      </c>
      <c r="BB18" s="45">
        <f>+'Cell 10 603'!AV10</f>
        <v>63</v>
      </c>
      <c r="BC18" s="45">
        <f>+'Cell 10 603'!AW10</f>
        <v>92.25</v>
      </c>
      <c r="BD18" s="45">
        <f>+'Cell 10 603'!AX10</f>
        <v>87.75</v>
      </c>
      <c r="BE18" s="45">
        <f>+'Cell 10 603'!AY10</f>
        <v>154.28571428571428</v>
      </c>
      <c r="BF18" s="45">
        <f>+'Cell 10 603'!AZ10</f>
        <v>80.400000000000006</v>
      </c>
      <c r="BG18" s="45">
        <f>+'Cell 10 603'!BA10</f>
        <v>83.4</v>
      </c>
      <c r="BH18" s="45">
        <f>+'Cell 10 603'!BB10</f>
        <v>91.2</v>
      </c>
      <c r="BI18" s="45">
        <f>+'Cell 10 603'!BC10</f>
        <v>50.4</v>
      </c>
      <c r="BJ18" s="45">
        <f>+'Cell 10 603'!BD10</f>
        <v>89.4</v>
      </c>
      <c r="BK18" s="45">
        <f>+'Cell 10 603'!BE10</f>
        <v>102</v>
      </c>
      <c r="BL18" s="45">
        <f>+'Cell 10 603'!BF10</f>
        <v>112.2</v>
      </c>
      <c r="BM18" s="45">
        <f>+'Cell 10 603'!BG10</f>
        <v>90.5</v>
      </c>
      <c r="BN18" s="45">
        <f>+'Cell 10 603'!BH10</f>
        <v>92</v>
      </c>
      <c r="BO18" s="45">
        <f>+'Cell 10 603'!BI10</f>
        <v>81</v>
      </c>
      <c r="BP18" s="45">
        <f>+'Cell 10 603'!BJ10</f>
        <v>73.5</v>
      </c>
      <c r="BQ18" s="45">
        <f>+'Cell 10 603'!BK10</f>
        <v>94.5</v>
      </c>
      <c r="BR18" s="45">
        <f>+'Cell 10 603'!BL10</f>
        <v>94.909090909090907</v>
      </c>
      <c r="BS18" s="45">
        <f>+'Cell 10 603'!BM10</f>
        <v>116.72727272727273</v>
      </c>
      <c r="BT18" s="45">
        <f>+'Cell 10 603'!BN10</f>
        <v>0</v>
      </c>
      <c r="BU18" s="45">
        <f>+'Cell 10 603'!BO10</f>
        <v>65.454545454545453</v>
      </c>
      <c r="BV18" s="45">
        <f>+'Cell 10 603'!BP10</f>
        <v>51</v>
      </c>
      <c r="BW18" s="45">
        <f>+'Cell 10 603'!BQ10</f>
        <v>86.333333333333329</v>
      </c>
      <c r="BX18" s="45">
        <f>+'Cell 10 603'!BR10</f>
        <v>109</v>
      </c>
      <c r="BY18" s="45">
        <f>+'Cell 10 603'!BS10</f>
        <v>72.5</v>
      </c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</row>
    <row r="19" spans="1:153" s="12" customFormat="1" ht="23.25" customHeight="1" x14ac:dyDescent="0.25">
      <c r="A19" s="55"/>
      <c r="B19" s="239" t="s">
        <v>27</v>
      </c>
      <c r="C19" s="239" t="s">
        <v>84</v>
      </c>
      <c r="D19" s="239">
        <v>27</v>
      </c>
      <c r="E19" s="239">
        <v>19</v>
      </c>
      <c r="F19" s="239">
        <f t="shared" ref="F19" si="15">+E19-D19:D19</f>
        <v>-8</v>
      </c>
      <c r="G19" s="167" t="str">
        <f>G17</f>
        <v>Output/Day</v>
      </c>
      <c r="H19" s="24">
        <v>126</v>
      </c>
      <c r="I19" s="24">
        <v>150</v>
      </c>
      <c r="J19" s="24">
        <v>144</v>
      </c>
      <c r="K19" s="47"/>
      <c r="L19" s="24">
        <v>222</v>
      </c>
      <c r="M19" s="24">
        <v>246</v>
      </c>
      <c r="N19" s="24">
        <v>216</v>
      </c>
      <c r="O19" s="24">
        <v>246</v>
      </c>
      <c r="P19" s="24">
        <v>246</v>
      </c>
      <c r="Q19" s="24">
        <v>288</v>
      </c>
      <c r="R19" s="24">
        <v>342</v>
      </c>
      <c r="S19" s="48"/>
      <c r="T19" s="48"/>
      <c r="U19" s="47"/>
      <c r="V19" s="47"/>
      <c r="W19" s="47"/>
      <c r="X19" s="47"/>
      <c r="Y19" s="47"/>
      <c r="Z19" s="48"/>
      <c r="AA19" s="47"/>
      <c r="AB19" s="48"/>
      <c r="AC19" s="48"/>
      <c r="AD19" s="47"/>
      <c r="AE19" s="47">
        <v>528</v>
      </c>
      <c r="AF19" s="47">
        <v>566</v>
      </c>
      <c r="AG19" s="47">
        <v>467</v>
      </c>
      <c r="AH19" s="47">
        <v>442</v>
      </c>
      <c r="AI19" s="47">
        <v>449</v>
      </c>
      <c r="AJ19" s="48">
        <v>583</v>
      </c>
      <c r="AK19" s="48">
        <v>692</v>
      </c>
      <c r="AL19" s="48">
        <v>714</v>
      </c>
      <c r="AM19" s="48">
        <v>774</v>
      </c>
      <c r="AN19" s="48">
        <v>798</v>
      </c>
      <c r="AO19" s="58">
        <f>+'Cell 5 603'!AS13</f>
        <v>840</v>
      </c>
      <c r="AP19" s="58">
        <f>+'Cell 5 603'!AT13</f>
        <v>702</v>
      </c>
      <c r="AQ19" s="58">
        <f>+'Cell 5 603'!AU13</f>
        <v>702</v>
      </c>
      <c r="AR19" s="58">
        <f>+'Cell 5 603'!AV13</f>
        <v>702</v>
      </c>
      <c r="AS19" s="58">
        <f>+'Cell 5 603'!AW13</f>
        <v>630</v>
      </c>
      <c r="AT19" s="58">
        <f>+'Cell 5 603'!AX13</f>
        <v>804</v>
      </c>
      <c r="AU19" s="58">
        <f>+'Cell 5 603'!AY13</f>
        <v>726</v>
      </c>
      <c r="AV19" s="58">
        <f>+'Cell 5 603'!AZ13</f>
        <v>450</v>
      </c>
      <c r="AW19" s="58">
        <f>+'Cell 5 603'!BA13</f>
        <v>504</v>
      </c>
      <c r="AX19" s="58">
        <f>+'Cell 5 603'!BB13</f>
        <v>504</v>
      </c>
      <c r="AY19" s="58">
        <f>+'Cell 5 603'!BC13</f>
        <v>600</v>
      </c>
      <c r="AZ19" s="58">
        <f>+'Cell 5 603'!BD13</f>
        <v>720</v>
      </c>
      <c r="BA19" s="58">
        <f>+'Cell 5 603'!BE13</f>
        <v>600</v>
      </c>
      <c r="BB19" s="58">
        <f>+'Cell 5 603'!BF13</f>
        <v>504</v>
      </c>
      <c r="BC19" s="58">
        <f>+'Cell 5 603'!BG13</f>
        <v>702</v>
      </c>
      <c r="BD19" s="58">
        <f>+'Cell 5 603'!BH13</f>
        <v>756</v>
      </c>
      <c r="BE19" s="101">
        <f>+'Cell 5 603'!BI13</f>
        <v>840</v>
      </c>
      <c r="BF19" s="101">
        <f>+'Cell 5 603'!BJ13</f>
        <v>803</v>
      </c>
      <c r="BG19" s="24">
        <f>+'Cell 11 603'!W9</f>
        <v>960</v>
      </c>
      <c r="BH19" s="24">
        <f>+'Cell 11 603'!X9</f>
        <v>954</v>
      </c>
      <c r="BI19" s="24">
        <f>+'Cell 11 603'!Y9</f>
        <v>624</v>
      </c>
      <c r="BJ19" s="114">
        <f>+'Cell 11 603'!Z9</f>
        <v>1126</v>
      </c>
      <c r="BK19" s="24">
        <f>+'Cell 11 603'!AA9</f>
        <v>804</v>
      </c>
      <c r="BL19" s="24">
        <f>+'Cell 11 603'!AB9</f>
        <v>222</v>
      </c>
      <c r="BM19" s="24">
        <f>+'Cell 11 603'!AC9</f>
        <v>948</v>
      </c>
      <c r="BN19" s="24">
        <f>+'Cell 11 603'!AD9</f>
        <v>1032</v>
      </c>
      <c r="BO19" s="24">
        <f>+'Cell 11 603'!AE9</f>
        <v>1002</v>
      </c>
      <c r="BP19" s="24">
        <f>+'Cell 11 603'!AF9</f>
        <v>1128</v>
      </c>
      <c r="BQ19" s="24">
        <f>+'Cell 11 603'!AG9</f>
        <v>660</v>
      </c>
      <c r="BR19" s="24">
        <f>+'Cell 11 603'!AH9</f>
        <v>924</v>
      </c>
      <c r="BS19" s="24">
        <f>+'Cell 11 603'!AI9</f>
        <v>1080</v>
      </c>
      <c r="BT19" s="24">
        <f>+'Cell 11 603'!AJ9</f>
        <v>0</v>
      </c>
      <c r="BU19" s="24">
        <f>+'Cell 11 603'!AK9</f>
        <v>1656</v>
      </c>
      <c r="BV19" s="24">
        <f>+'Cell 11 603'!AL9</f>
        <v>1206</v>
      </c>
      <c r="BW19" s="24">
        <f>+'Cell 11 603'!AM9</f>
        <v>720</v>
      </c>
      <c r="BX19" s="24">
        <f>+'Cell 11 603'!AN9</f>
        <v>1266</v>
      </c>
      <c r="BY19" s="24">
        <f>+'Cell 11 603'!AO9</f>
        <v>1680</v>
      </c>
      <c r="BZ19" s="47"/>
      <c r="CA19" s="48"/>
      <c r="CB19" s="48"/>
      <c r="CC19" s="47"/>
      <c r="CD19" s="47"/>
      <c r="CE19" s="47"/>
      <c r="CF19" s="47"/>
      <c r="CG19" s="47"/>
      <c r="CH19" s="47"/>
      <c r="CI19" s="48"/>
      <c r="CJ19" s="48"/>
      <c r="CK19" s="48"/>
      <c r="CL19" s="48"/>
      <c r="CM19" s="4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101"/>
      <c r="DE19" s="101"/>
      <c r="DF19" s="9"/>
      <c r="DG19" s="48"/>
      <c r="DH19" s="48"/>
      <c r="DI19" s="48"/>
      <c r="DJ19" s="60"/>
      <c r="DK19" s="60"/>
      <c r="DL19" s="60"/>
      <c r="DM19" s="60"/>
      <c r="DN19" s="58"/>
      <c r="DO19" s="58"/>
      <c r="DP19" s="60"/>
      <c r="DQ19" s="58"/>
      <c r="DR19" s="60"/>
      <c r="DS19" s="60"/>
      <c r="DT19" s="58"/>
      <c r="DU19" s="60"/>
      <c r="DV19" s="64"/>
      <c r="DW19" s="10"/>
      <c r="DX19" s="10"/>
      <c r="DY19" s="9"/>
      <c r="DZ19" s="10"/>
      <c r="EA19" s="9"/>
      <c r="EB19" s="48"/>
      <c r="EC19" s="48"/>
      <c r="ET19"/>
      <c r="EU19"/>
      <c r="EV19"/>
      <c r="EW19"/>
    </row>
    <row r="20" spans="1:153" ht="23.25" customHeight="1" x14ac:dyDescent="0.25">
      <c r="A20" s="54"/>
      <c r="B20" s="240"/>
      <c r="C20" s="240"/>
      <c r="D20" s="240"/>
      <c r="E20" s="240"/>
      <c r="F20" s="240"/>
      <c r="G20" s="167" t="s">
        <v>6</v>
      </c>
      <c r="H20" s="45">
        <f>H19/9</f>
        <v>14</v>
      </c>
      <c r="I20" s="45">
        <f>I19/9</f>
        <v>16.666666666666668</v>
      </c>
      <c r="J20" s="45">
        <f>J19/10</f>
        <v>14.4</v>
      </c>
      <c r="K20" s="45">
        <f>K19/9</f>
        <v>0</v>
      </c>
      <c r="L20" s="45">
        <f>+L19/9</f>
        <v>24.666666666666668</v>
      </c>
      <c r="M20" s="45">
        <f>+M19/9</f>
        <v>27.333333333333332</v>
      </c>
      <c r="N20" s="45">
        <f>N19/10</f>
        <v>21.6</v>
      </c>
      <c r="O20" s="45">
        <f>O19/10</f>
        <v>24.6</v>
      </c>
      <c r="P20" s="45">
        <f>P19/10</f>
        <v>24.6</v>
      </c>
      <c r="Q20" s="45">
        <f>Q19/10</f>
        <v>28.8</v>
      </c>
      <c r="R20" s="45">
        <f>SUM(R19:R19)/8</f>
        <v>42.75</v>
      </c>
      <c r="S20" s="45">
        <f>S19/8</f>
        <v>0</v>
      </c>
      <c r="T20" s="45">
        <f>T19/8</f>
        <v>0</v>
      </c>
      <c r="U20" s="45">
        <f>U19/8</f>
        <v>0</v>
      </c>
      <c r="V20" s="45">
        <f>V19/8</f>
        <v>0</v>
      </c>
      <c r="W20" s="45">
        <f>W19/8</f>
        <v>0</v>
      </c>
      <c r="X20" s="45">
        <f t="shared" ref="X20:AC20" si="16">SUM(X19:X19)/8</f>
        <v>0</v>
      </c>
      <c r="Y20" s="45">
        <f t="shared" si="16"/>
        <v>0</v>
      </c>
      <c r="Z20" s="45">
        <f t="shared" si="16"/>
        <v>0</v>
      </c>
      <c r="AA20" s="45">
        <f t="shared" si="16"/>
        <v>0</v>
      </c>
      <c r="AB20" s="45">
        <f t="shared" si="16"/>
        <v>0</v>
      </c>
      <c r="AC20" s="45">
        <f t="shared" si="16"/>
        <v>0</v>
      </c>
      <c r="AD20" s="45">
        <f>AD19/9</f>
        <v>0</v>
      </c>
      <c r="AE20" s="45">
        <f>AE19/9</f>
        <v>58.666666666666664</v>
      </c>
      <c r="AF20" s="45">
        <f>AF19/9</f>
        <v>62.888888888888886</v>
      </c>
      <c r="AG20" s="45">
        <f>AG19/10</f>
        <v>46.7</v>
      </c>
      <c r="AH20" s="45">
        <f>AH19/9</f>
        <v>49.111111111111114</v>
      </c>
      <c r="AI20" s="45">
        <f>+AI19/9</f>
        <v>49.888888888888886</v>
      </c>
      <c r="AJ20" s="45">
        <f>+AJ19/9</f>
        <v>64.777777777777771</v>
      </c>
      <c r="AK20" s="45">
        <f>AK19/9</f>
        <v>76.888888888888886</v>
      </c>
      <c r="AL20" s="45">
        <f>AL19/9</f>
        <v>79.333333333333329</v>
      </c>
      <c r="AM20" s="45">
        <f>AM19/9</f>
        <v>86</v>
      </c>
      <c r="AN20" s="45">
        <f>AN19/9</f>
        <v>88.666666666666671</v>
      </c>
      <c r="AO20" s="45">
        <f>+'Cell 5 603'!AS14</f>
        <v>84</v>
      </c>
      <c r="AP20" s="45">
        <f>+'Cell 5 603'!AT14</f>
        <v>70.2</v>
      </c>
      <c r="AQ20" s="45">
        <f>+'Cell 5 603'!AU14</f>
        <v>70.2</v>
      </c>
      <c r="AR20" s="45">
        <f>+'Cell 5 603'!AV14</f>
        <v>70.2</v>
      </c>
      <c r="AS20" s="45">
        <f>+'Cell 5 603'!AW14</f>
        <v>63</v>
      </c>
      <c r="AT20" s="45">
        <f>+'Cell 5 603'!AX14</f>
        <v>80.400000000000006</v>
      </c>
      <c r="AU20" s="45">
        <f>+'Cell 5 603'!AY14</f>
        <v>72.599999999999994</v>
      </c>
      <c r="AV20" s="45">
        <f>+'Cell 5 603'!AZ14</f>
        <v>45</v>
      </c>
      <c r="AW20" s="45">
        <f>+'Cell 5 603'!BA14</f>
        <v>50.4</v>
      </c>
      <c r="AX20" s="45">
        <f>+'Cell 5 603'!BB14</f>
        <v>50.4</v>
      </c>
      <c r="AY20" s="45">
        <f>+'Cell 5 603'!BC14</f>
        <v>60</v>
      </c>
      <c r="AZ20" s="45">
        <f>+'Cell 5 603'!BD14</f>
        <v>72</v>
      </c>
      <c r="BA20" s="45">
        <f>+'Cell 5 603'!BE14</f>
        <v>60</v>
      </c>
      <c r="BB20" s="45">
        <f>+'Cell 5 603'!BF14</f>
        <v>50.4</v>
      </c>
      <c r="BC20" s="45">
        <f>+'Cell 5 603'!BG14</f>
        <v>70.2</v>
      </c>
      <c r="BD20" s="45">
        <f>+'Cell 5 603'!BH14</f>
        <v>75.599999999999994</v>
      </c>
      <c r="BE20" s="45">
        <f>+'Cell 5 603'!BI14</f>
        <v>84</v>
      </c>
      <c r="BF20" s="45">
        <f>+'Cell 5 603'!BJ14</f>
        <v>73</v>
      </c>
      <c r="BG20" s="45">
        <f>+'Cell 11 603'!W10</f>
        <v>96</v>
      </c>
      <c r="BH20" s="45">
        <f>+'Cell 11 603'!X10</f>
        <v>95.4</v>
      </c>
      <c r="BI20" s="45">
        <f>+'Cell 11 603'!Y10</f>
        <v>62.4</v>
      </c>
      <c r="BJ20" s="45">
        <f>+'Cell 11 603'!Z10</f>
        <v>112.6</v>
      </c>
      <c r="BK20" s="45">
        <f>+'Cell 11 603'!AA10</f>
        <v>80.400000000000006</v>
      </c>
      <c r="BL20" s="45">
        <f>+'Cell 11 603'!AB10</f>
        <v>22.2</v>
      </c>
      <c r="BM20" s="45">
        <f>+'Cell 11 603'!AC10</f>
        <v>79</v>
      </c>
      <c r="BN20" s="45">
        <f>+'Cell 11 603'!AD10</f>
        <v>86</v>
      </c>
      <c r="BO20" s="45">
        <f>+'Cell 11 603'!AE10</f>
        <v>83.5</v>
      </c>
      <c r="BP20" s="45">
        <f>+'Cell 11 603'!AF10</f>
        <v>112.8</v>
      </c>
      <c r="BQ20" s="45">
        <f>+'Cell 11 603'!AG10</f>
        <v>82.5</v>
      </c>
      <c r="BR20" s="45">
        <f>+'Cell 11 603'!AH10</f>
        <v>84</v>
      </c>
      <c r="BS20" s="45">
        <f>+'Cell 11 603'!AI10</f>
        <v>98.181818181818187</v>
      </c>
      <c r="BT20" s="45">
        <f>+'Cell 11 603'!AJ10</f>
        <v>0</v>
      </c>
      <c r="BU20" s="45">
        <f>+'Cell 11 603'!AK10</f>
        <v>150.54545454545453</v>
      </c>
      <c r="BV20" s="45">
        <f>+'Cell 11 603'!AL10</f>
        <v>120.6</v>
      </c>
      <c r="BW20" s="45">
        <f>+'Cell 11 603'!AM10</f>
        <v>72</v>
      </c>
      <c r="BX20" s="45">
        <f>+'Cell 11 603'!AN10</f>
        <v>126.6</v>
      </c>
      <c r="BY20" s="45">
        <f>+'Cell 11 603'!AO10</f>
        <v>168</v>
      </c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</row>
    <row r="21" spans="1:153" ht="16.5" x14ac:dyDescent="0.25">
      <c r="A21" s="54"/>
      <c r="B21" s="242" t="s">
        <v>7</v>
      </c>
      <c r="C21" s="243"/>
      <c r="D21" s="243"/>
      <c r="E21" s="243"/>
      <c r="F21" s="243"/>
      <c r="G21" s="244"/>
      <c r="H21" s="51">
        <v>12</v>
      </c>
      <c r="I21" s="51">
        <v>12</v>
      </c>
      <c r="J21" s="51">
        <v>12</v>
      </c>
      <c r="K21" s="51">
        <v>12</v>
      </c>
      <c r="L21" s="51">
        <v>12</v>
      </c>
      <c r="M21" s="51">
        <v>24</v>
      </c>
      <c r="N21" s="51">
        <v>24</v>
      </c>
      <c r="O21" s="51">
        <v>24</v>
      </c>
      <c r="P21" s="51">
        <v>24</v>
      </c>
      <c r="Q21" s="51">
        <v>24</v>
      </c>
      <c r="R21" s="51">
        <v>48</v>
      </c>
      <c r="S21" s="51">
        <v>48</v>
      </c>
      <c r="T21" s="51">
        <v>48</v>
      </c>
      <c r="U21" s="51">
        <v>48</v>
      </c>
      <c r="V21" s="51">
        <v>48</v>
      </c>
      <c r="W21" s="51">
        <v>60</v>
      </c>
      <c r="X21" s="51">
        <v>60</v>
      </c>
      <c r="Y21" s="51">
        <v>60</v>
      </c>
      <c r="Z21" s="51">
        <v>60</v>
      </c>
      <c r="AA21" s="51">
        <v>60</v>
      </c>
      <c r="AB21" s="51">
        <v>72</v>
      </c>
      <c r="AC21" s="51">
        <v>72</v>
      </c>
      <c r="AD21" s="51">
        <v>72</v>
      </c>
      <c r="AE21" s="51">
        <v>72</v>
      </c>
      <c r="AF21" s="51">
        <v>72</v>
      </c>
      <c r="AG21" s="51">
        <v>96</v>
      </c>
      <c r="AH21" s="51">
        <v>96</v>
      </c>
      <c r="AI21" s="51">
        <v>96</v>
      </c>
      <c r="AJ21" s="51">
        <v>96</v>
      </c>
      <c r="AK21" s="51">
        <v>96</v>
      </c>
      <c r="AL21" s="51">
        <v>108</v>
      </c>
      <c r="AM21" s="51">
        <v>108</v>
      </c>
      <c r="AN21" s="51">
        <v>108</v>
      </c>
      <c r="AO21" s="51">
        <v>120</v>
      </c>
      <c r="AP21" s="51">
        <v>120</v>
      </c>
      <c r="AQ21" s="51">
        <v>120</v>
      </c>
      <c r="AR21" s="51">
        <v>120</v>
      </c>
      <c r="AS21" s="51">
        <v>120</v>
      </c>
      <c r="AT21" s="51">
        <v>120</v>
      </c>
      <c r="AU21" s="51">
        <v>120</v>
      </c>
      <c r="AV21" s="51">
        <v>120</v>
      </c>
      <c r="AW21" s="51">
        <v>120</v>
      </c>
      <c r="AX21" s="51">
        <v>120</v>
      </c>
      <c r="AY21" s="51">
        <v>120</v>
      </c>
      <c r="AZ21" s="51">
        <v>120</v>
      </c>
      <c r="BA21" s="51">
        <v>120</v>
      </c>
      <c r="BB21" s="51">
        <v>120</v>
      </c>
      <c r="BC21" s="51">
        <v>120</v>
      </c>
      <c r="BD21" s="51">
        <v>120</v>
      </c>
      <c r="BE21" s="51">
        <v>120</v>
      </c>
      <c r="BF21" s="51">
        <v>120</v>
      </c>
      <c r="BG21" s="51">
        <v>120</v>
      </c>
      <c r="BH21" s="51">
        <v>120</v>
      </c>
      <c r="BI21" s="51">
        <v>120</v>
      </c>
      <c r="BJ21" s="51">
        <v>120</v>
      </c>
      <c r="BK21" s="51">
        <v>120</v>
      </c>
      <c r="BL21" s="51">
        <v>120</v>
      </c>
      <c r="BM21" s="51">
        <v>120</v>
      </c>
      <c r="BN21" s="51">
        <v>120</v>
      </c>
      <c r="BO21" s="51">
        <v>120</v>
      </c>
      <c r="BP21" s="51">
        <v>120</v>
      </c>
      <c r="BQ21" s="51">
        <v>120</v>
      </c>
      <c r="BR21" s="51">
        <v>120</v>
      </c>
      <c r="BS21" s="51">
        <v>120</v>
      </c>
      <c r="BT21" s="51">
        <v>120</v>
      </c>
      <c r="BU21" s="51">
        <v>120</v>
      </c>
      <c r="BV21" s="51">
        <v>120</v>
      </c>
      <c r="BW21" s="51">
        <v>120</v>
      </c>
      <c r="BX21" s="51">
        <v>120</v>
      </c>
      <c r="BY21" s="51">
        <v>120</v>
      </c>
      <c r="BZ21" s="51">
        <v>120</v>
      </c>
      <c r="CA21" s="51">
        <v>120</v>
      </c>
      <c r="CB21" s="51">
        <v>120</v>
      </c>
      <c r="CC21" s="51">
        <v>120</v>
      </c>
      <c r="CD21" s="51">
        <v>120</v>
      </c>
      <c r="CE21" s="51">
        <v>120</v>
      </c>
      <c r="CF21" s="51">
        <v>120</v>
      </c>
      <c r="CG21" s="51">
        <v>120</v>
      </c>
      <c r="CH21" s="51">
        <v>120</v>
      </c>
      <c r="CI21" s="51">
        <v>120</v>
      </c>
      <c r="CJ21" s="51">
        <v>120</v>
      </c>
      <c r="CK21" s="51">
        <v>120</v>
      </c>
      <c r="CL21" s="51">
        <v>108</v>
      </c>
      <c r="CM21" s="51">
        <v>108</v>
      </c>
      <c r="CN21" s="51">
        <v>120</v>
      </c>
      <c r="CO21" s="51">
        <v>120</v>
      </c>
      <c r="CP21" s="51">
        <v>120</v>
      </c>
      <c r="CQ21" s="51">
        <v>120</v>
      </c>
      <c r="CR21" s="51">
        <v>120</v>
      </c>
      <c r="CS21" s="51">
        <v>120</v>
      </c>
      <c r="CT21" s="51">
        <v>120</v>
      </c>
      <c r="CU21" s="51">
        <v>120</v>
      </c>
      <c r="CV21" s="51">
        <v>120</v>
      </c>
      <c r="CW21" s="51">
        <v>120</v>
      </c>
      <c r="CX21" s="51">
        <v>120</v>
      </c>
      <c r="CY21" s="51">
        <v>120</v>
      </c>
      <c r="CZ21" s="51">
        <v>120</v>
      </c>
      <c r="DA21" s="51">
        <v>120</v>
      </c>
      <c r="DB21" s="51">
        <v>120</v>
      </c>
      <c r="DC21" s="51">
        <v>120</v>
      </c>
      <c r="DD21" s="51">
        <v>120</v>
      </c>
      <c r="DE21" s="51">
        <v>120</v>
      </c>
      <c r="DF21" s="51">
        <v>120</v>
      </c>
      <c r="DG21" s="51">
        <v>120</v>
      </c>
      <c r="DH21" s="51">
        <v>120</v>
      </c>
      <c r="DI21" s="51">
        <v>120</v>
      </c>
      <c r="DJ21" s="51">
        <v>120</v>
      </c>
      <c r="DK21" s="51">
        <v>120</v>
      </c>
      <c r="DL21" s="51">
        <v>120</v>
      </c>
      <c r="DM21" s="51">
        <v>120</v>
      </c>
      <c r="DN21" s="51">
        <v>120</v>
      </c>
      <c r="DO21" s="51">
        <v>120</v>
      </c>
      <c r="DP21" s="51">
        <v>120</v>
      </c>
      <c r="DQ21" s="51">
        <v>120</v>
      </c>
      <c r="DR21" s="51">
        <v>120</v>
      </c>
      <c r="DS21" s="51">
        <v>120</v>
      </c>
      <c r="DT21" s="51">
        <v>120</v>
      </c>
      <c r="DU21" s="51">
        <v>120</v>
      </c>
      <c r="DV21" s="51">
        <v>120</v>
      </c>
      <c r="DW21" s="51">
        <v>120</v>
      </c>
      <c r="DX21" s="51">
        <v>120</v>
      </c>
      <c r="DY21" s="51">
        <v>120</v>
      </c>
      <c r="DZ21" s="51">
        <v>120</v>
      </c>
      <c r="EA21" s="51">
        <v>120</v>
      </c>
      <c r="EB21" s="51">
        <v>120</v>
      </c>
      <c r="EC21" s="51">
        <v>120</v>
      </c>
    </row>
    <row r="22" spans="1:153" ht="15" customHeight="1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L22" s="71"/>
    </row>
    <row r="23" spans="1:153" ht="12" customHeight="1" x14ac:dyDescent="0.25">
      <c r="A23" s="2"/>
      <c r="I23" s="71"/>
      <c r="BH23" s="71"/>
    </row>
    <row r="24" spans="1:153" ht="21" customHeight="1" x14ac:dyDescent="0.25">
      <c r="B24" s="248" t="s">
        <v>32</v>
      </c>
      <c r="C24" s="249"/>
      <c r="D24" s="249"/>
      <c r="E24" s="249"/>
      <c r="F24" s="249"/>
      <c r="G24" s="249"/>
      <c r="H24" s="249"/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49"/>
      <c r="AA24" s="249"/>
      <c r="AB24" s="249"/>
      <c r="AC24" s="249"/>
      <c r="AD24" s="249"/>
      <c r="AE24" s="249"/>
      <c r="AF24" s="249"/>
      <c r="AG24" s="249"/>
      <c r="AH24" s="249"/>
      <c r="AI24" s="249"/>
      <c r="AJ24" s="249"/>
      <c r="AK24" s="249"/>
      <c r="AL24" s="249"/>
      <c r="AM24" s="249"/>
      <c r="AN24" s="249"/>
      <c r="AO24" s="249"/>
      <c r="AP24" s="249"/>
      <c r="AQ24" s="249"/>
      <c r="AR24" s="249"/>
      <c r="AS24" s="249"/>
      <c r="AT24" s="249"/>
      <c r="AU24" s="249"/>
      <c r="AV24" s="249"/>
      <c r="AW24" s="249"/>
      <c r="AX24" s="249"/>
      <c r="AY24" s="249"/>
      <c r="AZ24" s="249"/>
      <c r="BA24" s="249"/>
      <c r="BB24" s="249"/>
      <c r="BC24" s="249"/>
      <c r="BD24" s="249"/>
      <c r="BE24" s="249"/>
      <c r="BF24" s="249"/>
      <c r="BG24" s="249"/>
      <c r="BH24" s="249"/>
      <c r="BI24" s="249"/>
      <c r="BJ24" s="249"/>
      <c r="BK24" s="249"/>
      <c r="BL24" s="249"/>
      <c r="BM24" s="249"/>
      <c r="BN24" s="249"/>
      <c r="BO24" s="249"/>
      <c r="BP24" s="249"/>
      <c r="BQ24" s="249"/>
      <c r="BR24" s="249"/>
      <c r="BS24" s="249"/>
      <c r="BT24" s="249"/>
      <c r="BU24" s="249"/>
      <c r="BV24" s="249"/>
      <c r="BW24" s="249"/>
      <c r="BX24" s="249"/>
      <c r="BY24" s="249"/>
      <c r="BZ24" s="249"/>
      <c r="CA24" s="249"/>
      <c r="CB24" s="249"/>
      <c r="CC24" s="249"/>
      <c r="CD24" s="249"/>
      <c r="CE24" s="249"/>
      <c r="CF24" s="249"/>
      <c r="CG24" s="249"/>
      <c r="CH24" s="249"/>
      <c r="CI24" s="249"/>
      <c r="CJ24" s="249"/>
      <c r="CK24" s="249"/>
      <c r="CL24" s="249"/>
      <c r="CM24" s="249"/>
      <c r="CN24" s="249"/>
      <c r="CO24" s="249"/>
      <c r="CP24" s="249"/>
      <c r="CQ24" s="249"/>
      <c r="CR24" s="249"/>
      <c r="CS24" s="249"/>
      <c r="CT24" s="249"/>
      <c r="CU24" s="249"/>
      <c r="CV24" s="249"/>
      <c r="CW24" s="249"/>
      <c r="CX24" s="249"/>
      <c r="CY24" s="249"/>
      <c r="CZ24" s="249"/>
      <c r="DA24" s="249"/>
      <c r="DB24" s="249"/>
      <c r="DC24" s="249"/>
      <c r="DD24" s="249"/>
      <c r="DE24" s="249"/>
      <c r="DF24" s="249"/>
      <c r="DG24" s="249"/>
      <c r="DH24" s="249"/>
      <c r="DI24" s="249"/>
      <c r="DJ24" s="249"/>
      <c r="DK24" s="249"/>
      <c r="DL24" s="249"/>
      <c r="DM24" s="249"/>
      <c r="DN24" s="249"/>
      <c r="DO24" s="249"/>
      <c r="DP24" s="249"/>
      <c r="DQ24" s="249"/>
      <c r="DR24" s="249"/>
      <c r="DS24" s="249"/>
      <c r="DT24" s="249"/>
      <c r="DU24" s="249"/>
      <c r="DV24" s="249"/>
      <c r="DW24" s="249"/>
      <c r="DX24" s="249"/>
      <c r="DY24" s="249"/>
      <c r="DZ24" s="249"/>
      <c r="EA24" s="249"/>
      <c r="EB24" s="249"/>
      <c r="EC24" s="250"/>
      <c r="ED24" s="110"/>
    </row>
    <row r="25" spans="1:153" s="2" customFormat="1" ht="18" customHeight="1" x14ac:dyDescent="0.25">
      <c r="B25" s="251"/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  <c r="AA25" s="252"/>
      <c r="AB25" s="252"/>
      <c r="AC25" s="252"/>
      <c r="AD25" s="252"/>
      <c r="AE25" s="252"/>
      <c r="AF25" s="252"/>
      <c r="AG25" s="252"/>
      <c r="AH25" s="252"/>
      <c r="AI25" s="252"/>
      <c r="AJ25" s="252"/>
      <c r="AK25" s="252"/>
      <c r="AL25" s="252"/>
      <c r="AM25" s="252"/>
      <c r="AN25" s="252"/>
      <c r="AO25" s="252"/>
      <c r="AP25" s="252"/>
      <c r="AQ25" s="252"/>
      <c r="AR25" s="252"/>
      <c r="AS25" s="252"/>
      <c r="AT25" s="252"/>
      <c r="AU25" s="252"/>
      <c r="AV25" s="252"/>
      <c r="AW25" s="252"/>
      <c r="AX25" s="252"/>
      <c r="AY25" s="252"/>
      <c r="AZ25" s="252"/>
      <c r="BA25" s="252"/>
      <c r="BB25" s="252"/>
      <c r="BC25" s="252"/>
      <c r="BD25" s="252"/>
      <c r="BE25" s="252"/>
      <c r="BF25" s="252"/>
      <c r="BG25" s="252"/>
      <c r="BH25" s="252"/>
      <c r="BI25" s="252"/>
      <c r="BJ25" s="252"/>
      <c r="BK25" s="252"/>
      <c r="BL25" s="252"/>
      <c r="BM25" s="252"/>
      <c r="BN25" s="252"/>
      <c r="BO25" s="252"/>
      <c r="BP25" s="252"/>
      <c r="BQ25" s="252"/>
      <c r="BR25" s="252"/>
      <c r="BS25" s="252"/>
      <c r="BT25" s="252"/>
      <c r="BU25" s="252"/>
      <c r="BV25" s="252"/>
      <c r="BW25" s="252"/>
      <c r="BX25" s="252"/>
      <c r="BY25" s="252"/>
      <c r="BZ25" s="252"/>
      <c r="CA25" s="252"/>
      <c r="CB25" s="252"/>
      <c r="CC25" s="252"/>
      <c r="CD25" s="252"/>
      <c r="CE25" s="252"/>
      <c r="CF25" s="252"/>
      <c r="CG25" s="252"/>
      <c r="CH25" s="252"/>
      <c r="CI25" s="252"/>
      <c r="CJ25" s="252"/>
      <c r="CK25" s="252"/>
      <c r="CL25" s="252"/>
      <c r="CM25" s="252"/>
      <c r="CN25" s="252"/>
      <c r="CO25" s="252"/>
      <c r="CP25" s="252"/>
      <c r="CQ25" s="252"/>
      <c r="CR25" s="252"/>
      <c r="CS25" s="252"/>
      <c r="CT25" s="252"/>
      <c r="CU25" s="252"/>
      <c r="CV25" s="252"/>
      <c r="CW25" s="252"/>
      <c r="CX25" s="252"/>
      <c r="CY25" s="252"/>
      <c r="CZ25" s="252"/>
      <c r="DA25" s="252"/>
      <c r="DB25" s="252"/>
      <c r="DC25" s="252"/>
      <c r="DD25" s="252"/>
      <c r="DE25" s="252"/>
      <c r="DF25" s="252"/>
      <c r="DG25" s="252"/>
      <c r="DH25" s="252"/>
      <c r="DI25" s="252"/>
      <c r="DJ25" s="252"/>
      <c r="DK25" s="252"/>
      <c r="DL25" s="252"/>
      <c r="DM25" s="252"/>
      <c r="DN25" s="252"/>
      <c r="DO25" s="252"/>
      <c r="DP25" s="252"/>
      <c r="DQ25" s="252"/>
      <c r="DR25" s="252"/>
      <c r="DS25" s="252"/>
      <c r="DT25" s="252"/>
      <c r="DU25" s="252"/>
      <c r="DV25" s="252"/>
      <c r="DW25" s="252"/>
      <c r="DX25" s="252"/>
      <c r="DY25" s="252"/>
      <c r="DZ25" s="252"/>
      <c r="EA25" s="252"/>
      <c r="EB25" s="252"/>
      <c r="EC25" s="253"/>
      <c r="ED25" s="97"/>
      <c r="ET25"/>
      <c r="EU25"/>
      <c r="EV25"/>
      <c r="EW25"/>
    </row>
    <row r="26" spans="1:153" ht="3" customHeight="1" x14ac:dyDescent="0.25">
      <c r="B26" s="254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55"/>
      <c r="S26" s="255"/>
      <c r="T26" s="255"/>
      <c r="U26" s="255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5"/>
      <c r="AT26" s="255"/>
      <c r="AU26" s="255"/>
      <c r="AV26" s="255"/>
      <c r="AW26" s="255"/>
      <c r="AX26" s="255"/>
      <c r="AY26" s="255"/>
      <c r="AZ26" s="255"/>
      <c r="BA26" s="255"/>
      <c r="BB26" s="255"/>
      <c r="BC26" s="255"/>
      <c r="BD26" s="255"/>
      <c r="BE26" s="255"/>
      <c r="BF26" s="255"/>
      <c r="BG26" s="255"/>
      <c r="BH26" s="255"/>
      <c r="BI26" s="255"/>
      <c r="BJ26" s="255"/>
      <c r="BK26" s="255"/>
      <c r="BL26" s="255"/>
      <c r="BM26" s="255"/>
      <c r="BN26" s="255"/>
      <c r="BO26" s="255"/>
      <c r="BP26" s="255"/>
      <c r="BQ26" s="255"/>
      <c r="BR26" s="255"/>
      <c r="BS26" s="255"/>
      <c r="BT26" s="255"/>
      <c r="BU26" s="255"/>
      <c r="BV26" s="255"/>
      <c r="BW26" s="255"/>
      <c r="BX26" s="255"/>
      <c r="BY26" s="255"/>
      <c r="BZ26" s="255"/>
      <c r="CA26" s="255"/>
      <c r="CB26" s="255"/>
      <c r="CC26" s="255"/>
      <c r="CD26" s="255"/>
      <c r="CE26" s="255"/>
      <c r="CF26" s="255"/>
      <c r="CG26" s="255"/>
      <c r="CH26" s="255"/>
      <c r="CI26" s="255"/>
      <c r="CJ26" s="255"/>
      <c r="CK26" s="255"/>
      <c r="CL26" s="255"/>
      <c r="CM26" s="255"/>
      <c r="CN26" s="255"/>
      <c r="CO26" s="255"/>
      <c r="CP26" s="255"/>
      <c r="CQ26" s="255"/>
      <c r="CR26" s="255"/>
      <c r="CS26" s="255"/>
      <c r="CT26" s="255"/>
      <c r="CU26" s="255"/>
      <c r="CV26" s="255"/>
      <c r="CW26" s="255"/>
      <c r="CX26" s="255"/>
      <c r="CY26" s="255"/>
      <c r="CZ26" s="255"/>
      <c r="DA26" s="255"/>
      <c r="DB26" s="255"/>
      <c r="DC26" s="255"/>
      <c r="DD26" s="255"/>
      <c r="DE26" s="255"/>
      <c r="DF26" s="255"/>
      <c r="DG26" s="255"/>
      <c r="DH26" s="255"/>
      <c r="DI26" s="255"/>
      <c r="DJ26" s="255"/>
      <c r="DK26" s="255"/>
      <c r="DL26" s="255"/>
      <c r="DM26" s="255"/>
      <c r="DN26" s="255"/>
      <c r="DO26" s="255"/>
      <c r="DP26" s="255"/>
      <c r="DQ26" s="255"/>
      <c r="DR26" s="255"/>
      <c r="DS26" s="255"/>
      <c r="DT26" s="255"/>
      <c r="DU26" s="255"/>
      <c r="DV26" s="255"/>
      <c r="DW26" s="255"/>
      <c r="DX26" s="255"/>
      <c r="DY26" s="255"/>
      <c r="DZ26" s="255"/>
      <c r="EA26" s="255"/>
      <c r="EB26" s="255"/>
      <c r="EC26" s="256"/>
      <c r="ED26" s="110"/>
    </row>
    <row r="27" spans="1:153" s="2" customFormat="1" ht="23.25" customHeight="1" x14ac:dyDescent="0.25">
      <c r="A27" s="53"/>
      <c r="B27" s="241" t="s">
        <v>30</v>
      </c>
      <c r="C27" s="245" t="s">
        <v>77</v>
      </c>
      <c r="D27" s="245" t="s">
        <v>79</v>
      </c>
      <c r="E27" s="245" t="s">
        <v>80</v>
      </c>
      <c r="F27" s="245" t="s">
        <v>81</v>
      </c>
      <c r="G27" s="241" t="s">
        <v>17</v>
      </c>
      <c r="H27" s="37" t="s">
        <v>3</v>
      </c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257" t="s">
        <v>16</v>
      </c>
      <c r="AP27" s="258"/>
      <c r="AQ27" s="258"/>
      <c r="AR27" s="258"/>
      <c r="AS27" s="258"/>
      <c r="AT27" s="258"/>
      <c r="AU27" s="258"/>
      <c r="AV27" s="258"/>
      <c r="AW27" s="258"/>
      <c r="AX27" s="258"/>
      <c r="AY27" s="258"/>
      <c r="AZ27" s="258"/>
      <c r="BA27" s="258"/>
      <c r="BB27" s="258"/>
      <c r="BC27" s="258"/>
      <c r="BD27" s="258"/>
      <c r="BE27" s="258"/>
      <c r="BF27" s="258"/>
      <c r="BG27" s="258"/>
      <c r="BH27" s="258"/>
      <c r="BI27" s="258"/>
      <c r="BJ27" s="258"/>
      <c r="BK27" s="258"/>
      <c r="BL27" s="258"/>
      <c r="BM27" s="258"/>
      <c r="BN27" s="258"/>
      <c r="BO27" s="258"/>
      <c r="BP27" s="258"/>
      <c r="BQ27" s="258"/>
      <c r="BR27" s="258"/>
      <c r="BS27" s="258"/>
      <c r="BT27" s="258"/>
      <c r="BU27" s="258"/>
      <c r="BV27" s="258"/>
      <c r="BW27" s="258"/>
      <c r="BX27" s="258"/>
      <c r="BY27" s="258"/>
      <c r="BZ27" s="258"/>
      <c r="CA27" s="258"/>
      <c r="CB27" s="258"/>
      <c r="CC27" s="258"/>
      <c r="CD27" s="258"/>
      <c r="CE27" s="258"/>
      <c r="CF27" s="258"/>
      <c r="CG27" s="258"/>
      <c r="CH27" s="258"/>
      <c r="CI27" s="258"/>
      <c r="CJ27" s="258"/>
      <c r="CK27" s="258"/>
      <c r="CL27" s="258"/>
      <c r="CM27" s="258"/>
      <c r="CN27" s="258"/>
      <c r="CO27" s="258"/>
      <c r="CP27" s="258"/>
      <c r="CQ27" s="258"/>
      <c r="CR27" s="258"/>
      <c r="CS27" s="258"/>
      <c r="CT27" s="258"/>
      <c r="CU27" s="258"/>
      <c r="CV27" s="258"/>
      <c r="CW27" s="258"/>
      <c r="CX27" s="258"/>
      <c r="CY27" s="258"/>
      <c r="CZ27" s="258"/>
      <c r="DA27" s="258"/>
      <c r="DB27" s="258"/>
      <c r="DC27" s="258"/>
      <c r="DD27" s="258"/>
      <c r="DE27" s="258"/>
      <c r="DF27" s="258"/>
      <c r="DG27" s="258"/>
      <c r="DH27" s="258"/>
      <c r="DI27" s="258"/>
      <c r="DJ27" s="258"/>
      <c r="DK27" s="258"/>
      <c r="DL27" s="258"/>
      <c r="DM27" s="258"/>
      <c r="DN27" s="258"/>
      <c r="DO27" s="258"/>
      <c r="DP27" s="258"/>
      <c r="DQ27" s="258"/>
      <c r="DR27" s="258"/>
      <c r="DS27" s="258"/>
      <c r="DT27" s="258"/>
      <c r="DU27" s="258"/>
      <c r="DV27" s="258"/>
      <c r="DW27" s="258"/>
      <c r="DX27" s="258"/>
      <c r="DY27" s="258"/>
      <c r="DZ27" s="258"/>
      <c r="EA27" s="258"/>
      <c r="EB27" s="258"/>
      <c r="EC27" s="259"/>
      <c r="ED27" s="97"/>
      <c r="ET27"/>
      <c r="EU27"/>
      <c r="EV27"/>
      <c r="EW27"/>
    </row>
    <row r="28" spans="1:153" s="2" customFormat="1" ht="23.25" customHeight="1" x14ac:dyDescent="0.25">
      <c r="A28" s="53"/>
      <c r="B28" s="241"/>
      <c r="C28" s="246"/>
      <c r="D28" s="246"/>
      <c r="E28" s="246"/>
      <c r="F28" s="246"/>
      <c r="G28" s="241"/>
      <c r="H28" s="38">
        <v>1</v>
      </c>
      <c r="I28" s="38">
        <v>2</v>
      </c>
      <c r="J28" s="38">
        <v>3</v>
      </c>
      <c r="K28" s="38">
        <v>4</v>
      </c>
      <c r="L28" s="38">
        <v>5</v>
      </c>
      <c r="M28" s="38">
        <f t="shared" ref="M28:AR28" si="17">1+L28</f>
        <v>6</v>
      </c>
      <c r="N28" s="38">
        <f t="shared" si="17"/>
        <v>7</v>
      </c>
      <c r="O28" s="38">
        <f t="shared" si="17"/>
        <v>8</v>
      </c>
      <c r="P28" s="38">
        <f t="shared" si="17"/>
        <v>9</v>
      </c>
      <c r="Q28" s="38">
        <f t="shared" si="17"/>
        <v>10</v>
      </c>
      <c r="R28" s="38">
        <f t="shared" si="17"/>
        <v>11</v>
      </c>
      <c r="S28" s="38">
        <f t="shared" si="17"/>
        <v>12</v>
      </c>
      <c r="T28" s="38">
        <f t="shared" si="17"/>
        <v>13</v>
      </c>
      <c r="U28" s="38">
        <f t="shared" si="17"/>
        <v>14</v>
      </c>
      <c r="V28" s="38">
        <f t="shared" si="17"/>
        <v>15</v>
      </c>
      <c r="W28" s="38">
        <f t="shared" si="17"/>
        <v>16</v>
      </c>
      <c r="X28" s="38">
        <f t="shared" si="17"/>
        <v>17</v>
      </c>
      <c r="Y28" s="38">
        <f t="shared" si="17"/>
        <v>18</v>
      </c>
      <c r="Z28" s="38">
        <f t="shared" si="17"/>
        <v>19</v>
      </c>
      <c r="AA28" s="38">
        <f t="shared" si="17"/>
        <v>20</v>
      </c>
      <c r="AB28" s="38">
        <f t="shared" si="17"/>
        <v>21</v>
      </c>
      <c r="AC28" s="38">
        <f t="shared" si="17"/>
        <v>22</v>
      </c>
      <c r="AD28" s="38">
        <f t="shared" si="17"/>
        <v>23</v>
      </c>
      <c r="AE28" s="38">
        <f t="shared" si="17"/>
        <v>24</v>
      </c>
      <c r="AF28" s="38">
        <f t="shared" si="17"/>
        <v>25</v>
      </c>
      <c r="AG28" s="38">
        <f t="shared" si="17"/>
        <v>26</v>
      </c>
      <c r="AH28" s="38">
        <f t="shared" si="17"/>
        <v>27</v>
      </c>
      <c r="AI28" s="38">
        <f t="shared" si="17"/>
        <v>28</v>
      </c>
      <c r="AJ28" s="38">
        <f t="shared" si="17"/>
        <v>29</v>
      </c>
      <c r="AK28" s="38">
        <f t="shared" si="17"/>
        <v>30</v>
      </c>
      <c r="AL28" s="38">
        <f t="shared" si="17"/>
        <v>31</v>
      </c>
      <c r="AM28" s="38">
        <f t="shared" si="17"/>
        <v>32</v>
      </c>
      <c r="AN28" s="38">
        <f t="shared" si="17"/>
        <v>33</v>
      </c>
      <c r="AO28" s="38">
        <f t="shared" si="17"/>
        <v>34</v>
      </c>
      <c r="AP28" s="38">
        <f t="shared" si="17"/>
        <v>35</v>
      </c>
      <c r="AQ28" s="38">
        <f t="shared" si="17"/>
        <v>36</v>
      </c>
      <c r="AR28" s="38">
        <f t="shared" si="17"/>
        <v>37</v>
      </c>
      <c r="AS28" s="38">
        <f t="shared" ref="AS28:BF28" si="18">1+AR28</f>
        <v>38</v>
      </c>
      <c r="AT28" s="38">
        <f t="shared" si="18"/>
        <v>39</v>
      </c>
      <c r="AU28" s="38">
        <f t="shared" si="18"/>
        <v>40</v>
      </c>
      <c r="AV28" s="38">
        <f t="shared" si="18"/>
        <v>41</v>
      </c>
      <c r="AW28" s="38">
        <f t="shared" si="18"/>
        <v>42</v>
      </c>
      <c r="AX28" s="38">
        <f t="shared" si="18"/>
        <v>43</v>
      </c>
      <c r="AY28" s="38">
        <f t="shared" si="18"/>
        <v>44</v>
      </c>
      <c r="AZ28" s="38">
        <f t="shared" si="18"/>
        <v>45</v>
      </c>
      <c r="BA28" s="38">
        <f t="shared" si="18"/>
        <v>46</v>
      </c>
      <c r="BB28" s="38">
        <f t="shared" si="18"/>
        <v>47</v>
      </c>
      <c r="BC28" s="38">
        <f t="shared" si="18"/>
        <v>48</v>
      </c>
      <c r="BD28" s="38">
        <f t="shared" si="18"/>
        <v>49</v>
      </c>
      <c r="BE28" s="38">
        <f t="shared" si="18"/>
        <v>50</v>
      </c>
      <c r="BF28" s="38">
        <f t="shared" si="18"/>
        <v>51</v>
      </c>
      <c r="BG28" s="38">
        <f t="shared" ref="BG28" si="19">1+BF28</f>
        <v>52</v>
      </c>
      <c r="BH28" s="38">
        <f t="shared" ref="BH28" si="20">1+BG28</f>
        <v>53</v>
      </c>
      <c r="BI28" s="38">
        <f t="shared" ref="BI28" si="21">1+BH28</f>
        <v>54</v>
      </c>
      <c r="BJ28" s="38">
        <f t="shared" ref="BJ28" si="22">1+BI28</f>
        <v>55</v>
      </c>
      <c r="BK28" s="38">
        <f t="shared" ref="BK28" si="23">1+BJ28</f>
        <v>56</v>
      </c>
      <c r="BL28" s="38">
        <f t="shared" ref="BL28" si="24">1+BK28</f>
        <v>57</v>
      </c>
      <c r="BM28" s="38">
        <f t="shared" ref="BM28" si="25">1+BL28</f>
        <v>58</v>
      </c>
      <c r="BN28" s="38">
        <f t="shared" ref="BN28" si="26">1+BM28</f>
        <v>59</v>
      </c>
      <c r="BO28" s="38">
        <f t="shared" ref="BO28" si="27">1+BN28</f>
        <v>60</v>
      </c>
      <c r="BP28" s="38">
        <f t="shared" ref="BP28" si="28">1+BO28</f>
        <v>61</v>
      </c>
      <c r="BQ28" s="38">
        <f t="shared" ref="BQ28" si="29">1+BP28</f>
        <v>62</v>
      </c>
      <c r="BR28" s="38">
        <f t="shared" ref="BR28" si="30">1+BQ28</f>
        <v>63</v>
      </c>
      <c r="BS28" s="38">
        <f t="shared" ref="BS28" si="31">1+BR28</f>
        <v>64</v>
      </c>
      <c r="BT28" s="38">
        <f t="shared" ref="BT28" si="32">1+BS28</f>
        <v>65</v>
      </c>
      <c r="BU28" s="38">
        <f t="shared" ref="BU28" si="33">1+BT28</f>
        <v>66</v>
      </c>
      <c r="BV28" s="38">
        <f t="shared" ref="BV28" si="34">1+BU28</f>
        <v>67</v>
      </c>
      <c r="BW28" s="38">
        <f t="shared" ref="BW28" si="35">1+BV28</f>
        <v>68</v>
      </c>
      <c r="BX28" s="38">
        <f t="shared" ref="BX28" si="36">1+BW28</f>
        <v>69</v>
      </c>
      <c r="BY28" s="38">
        <f t="shared" ref="BY28" si="37">1+BX28</f>
        <v>70</v>
      </c>
      <c r="BZ28" s="38">
        <f t="shared" ref="BZ28" si="38">1+BY28</f>
        <v>71</v>
      </c>
      <c r="CA28" s="38">
        <f t="shared" ref="CA28" si="39">1+BZ28</f>
        <v>72</v>
      </c>
      <c r="CB28" s="38">
        <f t="shared" ref="CB28" si="40">1+CA28</f>
        <v>73</v>
      </c>
      <c r="CC28" s="38">
        <f t="shared" ref="CC28" si="41">1+CB28</f>
        <v>74</v>
      </c>
      <c r="CD28" s="38">
        <f t="shared" ref="CD28" si="42">1+CC28</f>
        <v>75</v>
      </c>
      <c r="CE28" s="38">
        <f t="shared" ref="CE28:DE28" si="43">1+CD28</f>
        <v>76</v>
      </c>
      <c r="CF28" s="38">
        <f t="shared" si="43"/>
        <v>77</v>
      </c>
      <c r="CG28" s="38">
        <f t="shared" si="43"/>
        <v>78</v>
      </c>
      <c r="CH28" s="38">
        <f t="shared" si="43"/>
        <v>79</v>
      </c>
      <c r="CI28" s="38">
        <f t="shared" si="43"/>
        <v>80</v>
      </c>
      <c r="CJ28" s="38">
        <f t="shared" si="43"/>
        <v>81</v>
      </c>
      <c r="CK28" s="38">
        <f t="shared" si="43"/>
        <v>82</v>
      </c>
      <c r="CL28" s="38">
        <f t="shared" si="43"/>
        <v>83</v>
      </c>
      <c r="CM28" s="38">
        <f t="shared" si="43"/>
        <v>84</v>
      </c>
      <c r="CN28" s="38">
        <f t="shared" si="43"/>
        <v>85</v>
      </c>
      <c r="CO28" s="38">
        <f t="shared" si="43"/>
        <v>86</v>
      </c>
      <c r="CP28" s="38">
        <f t="shared" si="43"/>
        <v>87</v>
      </c>
      <c r="CQ28" s="38">
        <f t="shared" si="43"/>
        <v>88</v>
      </c>
      <c r="CR28" s="38">
        <f t="shared" si="43"/>
        <v>89</v>
      </c>
      <c r="CS28" s="38">
        <f t="shared" si="43"/>
        <v>90</v>
      </c>
      <c r="CT28" s="38">
        <f t="shared" si="43"/>
        <v>91</v>
      </c>
      <c r="CU28" s="38">
        <f t="shared" si="43"/>
        <v>92</v>
      </c>
      <c r="CV28" s="38">
        <f t="shared" si="43"/>
        <v>93</v>
      </c>
      <c r="CW28" s="38">
        <f t="shared" si="43"/>
        <v>94</v>
      </c>
      <c r="CX28" s="38">
        <f t="shared" si="43"/>
        <v>95</v>
      </c>
      <c r="CY28" s="38">
        <f t="shared" si="43"/>
        <v>96</v>
      </c>
      <c r="CZ28" s="38">
        <f t="shared" si="43"/>
        <v>97</v>
      </c>
      <c r="DA28" s="38">
        <f t="shared" si="43"/>
        <v>98</v>
      </c>
      <c r="DB28" s="38">
        <f t="shared" si="43"/>
        <v>99</v>
      </c>
      <c r="DC28" s="38">
        <f t="shared" si="43"/>
        <v>100</v>
      </c>
      <c r="DD28" s="38">
        <f t="shared" si="43"/>
        <v>101</v>
      </c>
      <c r="DE28" s="38">
        <f t="shared" si="43"/>
        <v>102</v>
      </c>
      <c r="DF28" s="38">
        <f>1+BF28</f>
        <v>52</v>
      </c>
      <c r="DG28" s="38">
        <f t="shared" ref="DG28:EC28" si="44">1+DF28</f>
        <v>53</v>
      </c>
      <c r="DH28" s="38">
        <f t="shared" si="44"/>
        <v>54</v>
      </c>
      <c r="DI28" s="38">
        <f t="shared" si="44"/>
        <v>55</v>
      </c>
      <c r="DJ28" s="38">
        <f t="shared" si="44"/>
        <v>56</v>
      </c>
      <c r="DK28" s="38">
        <f t="shared" si="44"/>
        <v>57</v>
      </c>
      <c r="DL28" s="38">
        <f t="shared" si="44"/>
        <v>58</v>
      </c>
      <c r="DM28" s="38">
        <f t="shared" si="44"/>
        <v>59</v>
      </c>
      <c r="DN28" s="38">
        <f t="shared" si="44"/>
        <v>60</v>
      </c>
      <c r="DO28" s="38">
        <f t="shared" si="44"/>
        <v>61</v>
      </c>
      <c r="DP28" s="38">
        <f t="shared" si="44"/>
        <v>62</v>
      </c>
      <c r="DQ28" s="38">
        <f t="shared" si="44"/>
        <v>63</v>
      </c>
      <c r="DR28" s="38">
        <f t="shared" si="44"/>
        <v>64</v>
      </c>
      <c r="DS28" s="38">
        <f t="shared" si="44"/>
        <v>65</v>
      </c>
      <c r="DT28" s="38">
        <f t="shared" si="44"/>
        <v>66</v>
      </c>
      <c r="DU28" s="38">
        <f t="shared" si="44"/>
        <v>67</v>
      </c>
      <c r="DV28" s="38">
        <f t="shared" si="44"/>
        <v>68</v>
      </c>
      <c r="DW28" s="38">
        <f t="shared" si="44"/>
        <v>69</v>
      </c>
      <c r="DX28" s="38">
        <f t="shared" si="44"/>
        <v>70</v>
      </c>
      <c r="DY28" s="38">
        <f t="shared" si="44"/>
        <v>71</v>
      </c>
      <c r="DZ28" s="38">
        <f t="shared" si="44"/>
        <v>72</v>
      </c>
      <c r="EA28" s="38">
        <f t="shared" si="44"/>
        <v>73</v>
      </c>
      <c r="EB28" s="38">
        <f t="shared" si="44"/>
        <v>74</v>
      </c>
      <c r="EC28" s="38">
        <f t="shared" si="44"/>
        <v>75</v>
      </c>
      <c r="ET28"/>
      <c r="EU28"/>
      <c r="EV28"/>
      <c r="EW28"/>
    </row>
    <row r="29" spans="1:153" s="2" customFormat="1" ht="23.25" customHeight="1" x14ac:dyDescent="0.25">
      <c r="A29" s="53"/>
      <c r="B29" s="241"/>
      <c r="C29" s="247"/>
      <c r="D29" s="247"/>
      <c r="E29" s="247"/>
      <c r="F29" s="247"/>
      <c r="G29" s="241"/>
      <c r="H29" s="39">
        <v>46013</v>
      </c>
      <c r="I29" s="39">
        <v>46014</v>
      </c>
      <c r="J29" s="39">
        <v>46015</v>
      </c>
      <c r="K29" s="39">
        <v>46017</v>
      </c>
      <c r="L29" s="39">
        <v>46020</v>
      </c>
      <c r="M29" s="39">
        <v>46021</v>
      </c>
      <c r="N29" s="39">
        <v>46022</v>
      </c>
      <c r="O29" s="39">
        <v>46024</v>
      </c>
      <c r="P29" s="40">
        <v>46027</v>
      </c>
      <c r="Q29" s="40">
        <v>46028</v>
      </c>
      <c r="R29" s="40">
        <v>46029</v>
      </c>
      <c r="S29" s="40">
        <v>46030</v>
      </c>
      <c r="T29" s="40">
        <v>46031</v>
      </c>
      <c r="U29" s="39">
        <v>46034</v>
      </c>
      <c r="V29" s="39">
        <v>46035</v>
      </c>
      <c r="W29" s="39">
        <v>46036</v>
      </c>
      <c r="X29" s="39">
        <v>46037</v>
      </c>
      <c r="Y29" s="39">
        <v>46039</v>
      </c>
      <c r="Z29" s="39">
        <v>46041</v>
      </c>
      <c r="AA29" s="39">
        <v>46042</v>
      </c>
      <c r="AB29" s="39">
        <v>46043</v>
      </c>
      <c r="AC29" s="39">
        <v>46044</v>
      </c>
      <c r="AD29" s="39">
        <v>46045</v>
      </c>
      <c r="AE29" s="39">
        <v>46048</v>
      </c>
      <c r="AF29" s="39">
        <v>46049</v>
      </c>
      <c r="AG29" s="39">
        <v>46050</v>
      </c>
      <c r="AH29" s="39">
        <v>46051</v>
      </c>
      <c r="AI29" s="39">
        <v>46052</v>
      </c>
      <c r="AJ29" s="39">
        <v>46055</v>
      </c>
      <c r="AK29" s="39">
        <v>46056</v>
      </c>
      <c r="AL29" s="39">
        <v>46057</v>
      </c>
      <c r="AM29" s="39">
        <v>46058</v>
      </c>
      <c r="AN29" s="39">
        <v>46059</v>
      </c>
      <c r="AO29" s="39">
        <v>46083</v>
      </c>
      <c r="AP29" s="39">
        <v>46084</v>
      </c>
      <c r="AQ29" s="39">
        <v>46085</v>
      </c>
      <c r="AR29" s="39">
        <v>46086</v>
      </c>
      <c r="AS29" s="39">
        <v>46087</v>
      </c>
      <c r="AT29" s="39">
        <v>46090</v>
      </c>
      <c r="AU29" s="39">
        <v>46091</v>
      </c>
      <c r="AV29" s="39">
        <v>46092</v>
      </c>
      <c r="AW29" s="39">
        <v>46093</v>
      </c>
      <c r="AX29" s="39">
        <v>46094</v>
      </c>
      <c r="AY29" s="39">
        <v>46097</v>
      </c>
      <c r="AZ29" s="39">
        <v>46098</v>
      </c>
      <c r="BA29" s="39">
        <v>46099</v>
      </c>
      <c r="BB29" s="39">
        <v>46106</v>
      </c>
      <c r="BC29" s="39">
        <v>46107</v>
      </c>
      <c r="BD29" s="39">
        <v>46108</v>
      </c>
      <c r="BE29" s="39">
        <v>46109</v>
      </c>
      <c r="BF29" s="39">
        <v>46111</v>
      </c>
      <c r="BG29" s="39">
        <v>45747</v>
      </c>
      <c r="BH29" s="39">
        <v>46113</v>
      </c>
      <c r="BI29" s="39">
        <v>46114</v>
      </c>
      <c r="BJ29" s="39">
        <v>46115</v>
      </c>
      <c r="BK29" s="39">
        <v>46116</v>
      </c>
      <c r="BL29" s="39">
        <v>46118</v>
      </c>
      <c r="BM29" s="39">
        <v>46119</v>
      </c>
      <c r="BN29" s="39">
        <v>46120</v>
      </c>
      <c r="BO29" s="39">
        <v>46121</v>
      </c>
      <c r="BP29" s="39">
        <v>46122</v>
      </c>
      <c r="BQ29" s="39">
        <v>46123</v>
      </c>
      <c r="BR29" s="39">
        <v>46125</v>
      </c>
      <c r="BS29" s="39">
        <v>46126</v>
      </c>
      <c r="BT29" s="39">
        <v>46127</v>
      </c>
      <c r="BU29" s="39">
        <v>46128</v>
      </c>
      <c r="BV29" s="39">
        <v>46129</v>
      </c>
      <c r="BW29" s="39">
        <v>46130</v>
      </c>
      <c r="BX29" s="39">
        <v>46132</v>
      </c>
      <c r="BY29" s="39">
        <v>46133</v>
      </c>
      <c r="BZ29" s="39">
        <v>46134</v>
      </c>
      <c r="CA29" s="39">
        <v>46135</v>
      </c>
      <c r="CB29" s="39">
        <v>46136</v>
      </c>
      <c r="CC29" s="39">
        <v>46137</v>
      </c>
      <c r="CD29" s="39">
        <v>46138</v>
      </c>
      <c r="CE29" s="39">
        <v>46139</v>
      </c>
      <c r="CF29" s="39">
        <v>46140</v>
      </c>
      <c r="CG29" s="39">
        <v>46141</v>
      </c>
      <c r="CH29" s="39">
        <v>46142</v>
      </c>
      <c r="CI29" s="39">
        <v>46143</v>
      </c>
      <c r="CJ29" s="39">
        <v>46144</v>
      </c>
      <c r="CK29" s="39">
        <v>46145</v>
      </c>
      <c r="CL29" s="39">
        <v>45778</v>
      </c>
      <c r="CM29" s="39">
        <v>45779</v>
      </c>
      <c r="CN29" s="39">
        <v>45780</v>
      </c>
      <c r="CO29" s="39">
        <v>45781</v>
      </c>
      <c r="CP29" s="39">
        <v>45782</v>
      </c>
      <c r="CQ29" s="39">
        <v>45783</v>
      </c>
      <c r="CR29" s="39">
        <v>45784</v>
      </c>
      <c r="CS29" s="39">
        <v>45785</v>
      </c>
      <c r="CT29" s="39">
        <v>45786</v>
      </c>
      <c r="CU29" s="39">
        <v>45787</v>
      </c>
      <c r="CV29" s="39">
        <v>45788</v>
      </c>
      <c r="CW29" s="39">
        <v>45789</v>
      </c>
      <c r="CX29" s="39">
        <v>45790</v>
      </c>
      <c r="CY29" s="39">
        <v>45791</v>
      </c>
      <c r="CZ29" s="39">
        <v>45792</v>
      </c>
      <c r="DA29" s="39">
        <v>45793</v>
      </c>
      <c r="DB29" s="39">
        <v>45794</v>
      </c>
      <c r="DC29" s="39">
        <v>45795</v>
      </c>
      <c r="DD29" s="39">
        <v>45796</v>
      </c>
      <c r="DE29" s="39">
        <v>45797</v>
      </c>
      <c r="DF29" s="39">
        <v>45798</v>
      </c>
      <c r="DG29" s="39">
        <v>45799</v>
      </c>
      <c r="DH29" s="39">
        <v>45800</v>
      </c>
      <c r="DI29" s="39">
        <v>45801</v>
      </c>
      <c r="DJ29" s="39">
        <v>45802</v>
      </c>
      <c r="DK29" s="39">
        <v>45803</v>
      </c>
      <c r="DL29" s="39">
        <v>45804</v>
      </c>
      <c r="DM29" s="39">
        <v>45805</v>
      </c>
      <c r="DN29" s="39">
        <v>45806</v>
      </c>
      <c r="DO29" s="39">
        <v>45807</v>
      </c>
      <c r="DP29" s="39">
        <v>45808</v>
      </c>
      <c r="DQ29" s="39">
        <v>45809</v>
      </c>
      <c r="DR29" s="39">
        <v>45810</v>
      </c>
      <c r="DS29" s="39">
        <v>45811</v>
      </c>
      <c r="DT29" s="39">
        <v>45812</v>
      </c>
      <c r="DU29" s="39">
        <v>45813</v>
      </c>
      <c r="DV29" s="39">
        <v>45814</v>
      </c>
      <c r="DW29" s="39">
        <v>45815</v>
      </c>
      <c r="DX29" s="39">
        <v>45816</v>
      </c>
      <c r="DY29" s="39">
        <v>45817</v>
      </c>
      <c r="DZ29" s="39">
        <v>45818</v>
      </c>
      <c r="EA29" s="39">
        <v>45819</v>
      </c>
      <c r="EB29" s="39">
        <v>45820</v>
      </c>
      <c r="EC29" s="39">
        <v>45821</v>
      </c>
      <c r="ET29"/>
      <c r="EU29"/>
      <c r="EV29"/>
      <c r="EW29"/>
    </row>
    <row r="30" spans="1:153" ht="23.25" customHeight="1" x14ac:dyDescent="0.25">
      <c r="A30" s="54"/>
      <c r="B30" s="262" t="s">
        <v>19</v>
      </c>
      <c r="C30" s="239" t="s">
        <v>78</v>
      </c>
      <c r="D30" s="239">
        <v>35</v>
      </c>
      <c r="E30" s="239">
        <v>33</v>
      </c>
      <c r="F30" s="239">
        <f>+E30-D30</f>
        <v>-2</v>
      </c>
      <c r="G30" s="135" t="s">
        <v>10</v>
      </c>
      <c r="H30" s="144">
        <v>468</v>
      </c>
      <c r="I30" s="144">
        <v>522</v>
      </c>
      <c r="J30" s="144">
        <v>300</v>
      </c>
      <c r="K30" s="145"/>
      <c r="L30" s="144">
        <v>276</v>
      </c>
      <c r="M30" s="144">
        <v>540</v>
      </c>
      <c r="N30" s="144">
        <v>444</v>
      </c>
      <c r="O30" s="144">
        <v>462</v>
      </c>
      <c r="P30" s="144">
        <v>600</v>
      </c>
      <c r="Q30" s="144">
        <v>582</v>
      </c>
      <c r="R30" s="144">
        <v>429</v>
      </c>
      <c r="S30" s="146"/>
      <c r="T30" s="146"/>
      <c r="U30" s="146"/>
      <c r="V30" s="145"/>
      <c r="W30" s="145"/>
      <c r="X30" s="145"/>
      <c r="Y30" s="145"/>
      <c r="Z30" s="146"/>
      <c r="AA30" s="145"/>
      <c r="AB30" s="146"/>
      <c r="AC30" s="146"/>
      <c r="AD30" s="147"/>
      <c r="AE30" s="147">
        <v>600</v>
      </c>
      <c r="AF30" s="145">
        <v>600</v>
      </c>
      <c r="AG30" s="145">
        <v>612</v>
      </c>
      <c r="AH30" s="145">
        <v>672</v>
      </c>
      <c r="AI30" s="145">
        <v>348</v>
      </c>
      <c r="AJ30" s="146">
        <v>468</v>
      </c>
      <c r="AK30" s="145">
        <v>552</v>
      </c>
      <c r="AL30" s="146">
        <v>316</v>
      </c>
      <c r="AM30" s="148">
        <v>503</v>
      </c>
      <c r="AN30" s="146">
        <v>690</v>
      </c>
      <c r="AO30" s="146">
        <f>+'Cell 4 603'!BB11</f>
        <v>510</v>
      </c>
      <c r="AP30" s="146">
        <f>+'Cell 4 603'!BC11</f>
        <v>612</v>
      </c>
      <c r="AQ30" s="146">
        <f>+'Cell 4 603'!BD11</f>
        <v>580</v>
      </c>
      <c r="AR30" s="146">
        <f>+'Cell 4 603'!BE11</f>
        <v>568</v>
      </c>
      <c r="AS30" s="146">
        <f>+'Cell 4 603'!BF11</f>
        <v>568</v>
      </c>
      <c r="AT30" s="146">
        <f>+'Cell 4 603'!BG11</f>
        <v>480</v>
      </c>
      <c r="AU30" s="146">
        <f>+'Cell 4 603'!BH11</f>
        <v>516</v>
      </c>
      <c r="AV30" s="146">
        <f>+'Cell 4 603'!BI11</f>
        <v>600</v>
      </c>
      <c r="AW30" s="146">
        <f>+'Cell 4 603'!BJ11</f>
        <v>598</v>
      </c>
      <c r="AX30" s="146">
        <f>+'Cell 4 603'!BK11</f>
        <v>651</v>
      </c>
      <c r="AY30" s="146">
        <f>+'Cell 4 603'!BL11</f>
        <v>606</v>
      </c>
      <c r="AZ30" s="146">
        <f>+'Cell 4 603'!BM11</f>
        <v>639</v>
      </c>
      <c r="BA30" s="146">
        <f>+'Cell 4 603'!BN11</f>
        <v>504</v>
      </c>
      <c r="BB30" s="146">
        <f>+'Cell 4 603'!BO11</f>
        <v>582</v>
      </c>
      <c r="BC30" s="146">
        <f>+'Cell 4 603'!BP11</f>
        <v>636</v>
      </c>
      <c r="BD30" s="146">
        <f>+'Cell 4 603'!BQ11</f>
        <v>630</v>
      </c>
      <c r="BE30" s="146">
        <f>+'Cell 4 603'!BR11</f>
        <v>732</v>
      </c>
      <c r="BF30" s="146">
        <f>+'Cell 4 603'!BS11</f>
        <v>815</v>
      </c>
      <c r="BG30" s="146">
        <f>+'Cell 4 603'!BT11</f>
        <v>798</v>
      </c>
      <c r="BH30" s="146">
        <f>+'Cell 4 603'!BU11</f>
        <v>732</v>
      </c>
      <c r="BI30" s="146">
        <f>+'Cell 4 603'!BV11</f>
        <v>696</v>
      </c>
      <c r="BJ30" s="146">
        <f>+'Cell 4 603'!BW11</f>
        <v>726</v>
      </c>
      <c r="BK30" s="146">
        <f>+'Cell 4 603'!BX11</f>
        <v>750</v>
      </c>
      <c r="BL30" s="146">
        <f>+'Cell 4 603'!BY11</f>
        <v>753</v>
      </c>
      <c r="BM30" s="146">
        <f>+'Cell 4 603'!BZ11</f>
        <v>636</v>
      </c>
      <c r="BN30" s="146">
        <f>+'Cell 4 603'!CA11</f>
        <v>609</v>
      </c>
      <c r="BO30" s="146">
        <f>+'Cell 4 603'!CB11</f>
        <v>732</v>
      </c>
      <c r="BP30" s="146">
        <f>+'Cell 4 603'!CC11</f>
        <v>736</v>
      </c>
      <c r="BQ30" s="146">
        <f>+'Cell 4 603'!CD11</f>
        <v>696</v>
      </c>
      <c r="BR30" s="146">
        <f>+'Cell 4 603'!CE11</f>
        <v>743</v>
      </c>
      <c r="BS30" s="146">
        <f>+'Cell 4 603'!CF11</f>
        <v>710</v>
      </c>
      <c r="BT30" s="146">
        <f>+'Cell 4 603'!CG11</f>
        <v>804</v>
      </c>
      <c r="BU30" s="146">
        <f>+'Cell 4 603'!CH11</f>
        <v>726</v>
      </c>
      <c r="BV30" s="146">
        <f>+'Cell 4 603'!CI11</f>
        <v>774</v>
      </c>
      <c r="BW30" s="146">
        <f>+'Cell 4 603'!CJ11</f>
        <v>696</v>
      </c>
      <c r="BX30" s="146">
        <f>+'Cell 4 603'!CK11</f>
        <v>892</v>
      </c>
      <c r="BY30" s="146">
        <f>+'Cell 4 603'!CL11</f>
        <v>916</v>
      </c>
      <c r="BZ30" s="145"/>
      <c r="CA30" s="146"/>
      <c r="CB30" s="146"/>
      <c r="CC30" s="147"/>
      <c r="CD30" s="147"/>
      <c r="CE30" s="145"/>
      <c r="CF30" s="145"/>
      <c r="CG30" s="145"/>
      <c r="CH30" s="145"/>
      <c r="CI30" s="146"/>
      <c r="CJ30" s="145"/>
      <c r="CK30" s="146"/>
      <c r="CL30" s="148"/>
      <c r="CM30" s="146"/>
      <c r="CN30" s="146"/>
      <c r="CO30" s="146"/>
      <c r="CP30" s="146"/>
      <c r="CQ30" s="146"/>
      <c r="CR30" s="146"/>
      <c r="CS30" s="146"/>
      <c r="CT30" s="146"/>
      <c r="CU30" s="146"/>
      <c r="CV30" s="146"/>
      <c r="CW30" s="146"/>
      <c r="CX30" s="146"/>
      <c r="CY30" s="146"/>
      <c r="CZ30" s="146"/>
      <c r="DA30" s="146"/>
      <c r="DB30" s="146"/>
      <c r="DC30" s="146"/>
      <c r="DD30" s="146"/>
      <c r="DE30" s="146"/>
      <c r="DF30" s="146"/>
      <c r="DG30" s="146"/>
      <c r="DH30" s="146"/>
      <c r="DI30" s="146"/>
      <c r="DJ30" s="146"/>
      <c r="DK30" s="146"/>
      <c r="DL30" s="146"/>
      <c r="DM30" s="146"/>
      <c r="DN30" s="146"/>
      <c r="DO30" s="146"/>
      <c r="DP30" s="146"/>
      <c r="DQ30" s="146"/>
      <c r="DR30" s="146"/>
      <c r="DS30" s="146"/>
      <c r="DT30" s="146"/>
      <c r="DU30" s="146"/>
      <c r="DV30" s="146"/>
      <c r="DW30" s="146"/>
      <c r="DX30" s="146"/>
      <c r="DY30" s="146"/>
      <c r="DZ30" s="146"/>
      <c r="EA30" s="146"/>
      <c r="EB30" s="146"/>
      <c r="EC30" s="146"/>
      <c r="EU30" s="171"/>
    </row>
    <row r="31" spans="1:153" ht="23.25" customHeight="1" x14ac:dyDescent="0.25">
      <c r="A31" s="54"/>
      <c r="B31" s="262"/>
      <c r="C31" s="240"/>
      <c r="D31" s="240"/>
      <c r="E31" s="240"/>
      <c r="F31" s="240"/>
      <c r="G31" s="135" t="s">
        <v>6</v>
      </c>
      <c r="H31" s="45">
        <f>H30/8</f>
        <v>58.5</v>
      </c>
      <c r="I31" s="45">
        <f>I30/8</f>
        <v>65.25</v>
      </c>
      <c r="J31" s="45">
        <f>J30/10</f>
        <v>30</v>
      </c>
      <c r="K31" s="45">
        <f>K30/8</f>
        <v>0</v>
      </c>
      <c r="L31" s="45">
        <f>+L30/8</f>
        <v>34.5</v>
      </c>
      <c r="M31" s="45">
        <f>+M30/8</f>
        <v>67.5</v>
      </c>
      <c r="N31" s="45">
        <f>N30/10</f>
        <v>44.4</v>
      </c>
      <c r="O31" s="46">
        <f>O30/10</f>
        <v>46.2</v>
      </c>
      <c r="P31" s="46">
        <f>P30/10</f>
        <v>60</v>
      </c>
      <c r="Q31" s="46">
        <f>Q30/10</f>
        <v>58.2</v>
      </c>
      <c r="R31" s="45">
        <f>SUM(R30:R30)/8</f>
        <v>53.625</v>
      </c>
      <c r="S31" s="45">
        <f>S30/8</f>
        <v>0</v>
      </c>
      <c r="T31" s="45">
        <f>T30/8</f>
        <v>0</v>
      </c>
      <c r="U31" s="45">
        <f>U30/8</f>
        <v>0</v>
      </c>
      <c r="V31" s="45">
        <f>V30/8</f>
        <v>0</v>
      </c>
      <c r="W31" s="45">
        <f>W30/8</f>
        <v>0</v>
      </c>
      <c r="X31" s="45">
        <f t="shared" ref="X31:AC31" si="45">SUM(X30:X30)/8</f>
        <v>0</v>
      </c>
      <c r="Y31" s="45">
        <f t="shared" si="45"/>
        <v>0</v>
      </c>
      <c r="Z31" s="45">
        <f t="shared" si="45"/>
        <v>0</v>
      </c>
      <c r="AA31" s="45">
        <f t="shared" si="45"/>
        <v>0</v>
      </c>
      <c r="AB31" s="45">
        <f t="shared" si="45"/>
        <v>0</v>
      </c>
      <c r="AC31" s="45">
        <f t="shared" si="45"/>
        <v>0</v>
      </c>
      <c r="AD31" s="45">
        <f>AD30/8</f>
        <v>0</v>
      </c>
      <c r="AE31" s="45">
        <f>AE30/8</f>
        <v>75</v>
      </c>
      <c r="AF31" s="45">
        <f>AF30/8</f>
        <v>75</v>
      </c>
      <c r="AG31" s="45">
        <f>AG30/10</f>
        <v>61.2</v>
      </c>
      <c r="AH31" s="45">
        <f>AH30/8</f>
        <v>84</v>
      </c>
      <c r="AI31" s="45">
        <f>+AI30/8</f>
        <v>43.5</v>
      </c>
      <c r="AJ31" s="45">
        <f>+AJ30/8</f>
        <v>58.5</v>
      </c>
      <c r="AK31" s="45">
        <f>AK30/9</f>
        <v>61.333333333333336</v>
      </c>
      <c r="AL31" s="45">
        <f>AL30/8</f>
        <v>39.5</v>
      </c>
      <c r="AM31" s="45">
        <f>AM30/8</f>
        <v>62.875</v>
      </c>
      <c r="AN31" s="45">
        <f>SUM(AN30:AN30)/8</f>
        <v>86.25</v>
      </c>
      <c r="AO31" s="45">
        <f>+'Cell 4 603'!BB12</f>
        <v>51</v>
      </c>
      <c r="AP31" s="45">
        <f>+'Cell 4 603'!BC12</f>
        <v>61.2</v>
      </c>
      <c r="AQ31" s="45">
        <f>+'Cell 4 603'!BD12</f>
        <v>58</v>
      </c>
      <c r="AR31" s="45">
        <f>+'Cell 4 603'!BE12</f>
        <v>56.8</v>
      </c>
      <c r="AS31" s="45">
        <f>+'Cell 4 603'!BF12</f>
        <v>56.8</v>
      </c>
      <c r="AT31" s="45">
        <f>+'Cell 4 603'!BG12</f>
        <v>48</v>
      </c>
      <c r="AU31" s="45">
        <f>+'Cell 4 603'!BH12</f>
        <v>51.6</v>
      </c>
      <c r="AV31" s="45">
        <f>+'Cell 4 603'!BI12</f>
        <v>60</v>
      </c>
      <c r="AW31" s="45">
        <f>+'Cell 4 603'!BJ12</f>
        <v>59.8</v>
      </c>
      <c r="AX31" s="45">
        <f>+'Cell 4 603'!BK12</f>
        <v>65.099999999999994</v>
      </c>
      <c r="AY31" s="45">
        <f>+'Cell 4 603'!BL12</f>
        <v>60.6</v>
      </c>
      <c r="AZ31" s="45">
        <f>+'Cell 4 603'!BM12</f>
        <v>63.9</v>
      </c>
      <c r="BA31" s="45">
        <f>+'Cell 4 603'!BN12</f>
        <v>50.4</v>
      </c>
      <c r="BB31" s="45">
        <f>+'Cell 4 603'!BO12</f>
        <v>58.2</v>
      </c>
      <c r="BC31" s="45">
        <f>+'Cell 4 603'!BP12</f>
        <v>63.6</v>
      </c>
      <c r="BD31" s="45">
        <f>+'Cell 4 603'!BQ12</f>
        <v>63</v>
      </c>
      <c r="BE31" s="45">
        <f>+'Cell 4 603'!BR12</f>
        <v>73.2</v>
      </c>
      <c r="BF31" s="45">
        <f>+'Cell 4 603'!BS12</f>
        <v>74.090909090909093</v>
      </c>
      <c r="BG31" s="45">
        <f>+'Cell 4 603'!BT12</f>
        <v>72.545454545454547</v>
      </c>
      <c r="BH31" s="45">
        <f>+'Cell 4 603'!BU12</f>
        <v>61</v>
      </c>
      <c r="BI31" s="45">
        <f>+'Cell 4 603'!BV12</f>
        <v>58</v>
      </c>
      <c r="BJ31" s="45">
        <f>+'Cell 4 603'!BW12</f>
        <v>60.5</v>
      </c>
      <c r="BK31" s="45">
        <f>+'Cell 4 603'!BX12</f>
        <v>62.5</v>
      </c>
      <c r="BL31" s="45">
        <f>+'Cell 4 603'!BY12</f>
        <v>62.75</v>
      </c>
      <c r="BM31" s="45">
        <f>+'Cell 4 603'!BZ12</f>
        <v>53</v>
      </c>
      <c r="BN31" s="45">
        <f>+'Cell 4 603'!CA12</f>
        <v>50.75</v>
      </c>
      <c r="BO31" s="45">
        <f>+'Cell 4 603'!CB12</f>
        <v>61</v>
      </c>
      <c r="BP31" s="45">
        <f>+'Cell 4 603'!CC12</f>
        <v>61.333333333333336</v>
      </c>
      <c r="BQ31" s="45">
        <f>+'Cell 4 603'!CD12</f>
        <v>69.599999999999994</v>
      </c>
      <c r="BR31" s="45">
        <f>+'Cell 4 603'!CE12</f>
        <v>61.916666666666664</v>
      </c>
      <c r="BS31" s="45">
        <f>+'Cell 4 603'!CF12</f>
        <v>59.166666666666664</v>
      </c>
      <c r="BT31" s="45">
        <f>+'Cell 4 603'!CG12</f>
        <v>67</v>
      </c>
      <c r="BU31" s="45">
        <f>+'Cell 4 603'!CH12</f>
        <v>60.5</v>
      </c>
      <c r="BV31" s="45">
        <f>+'Cell 4 603'!CI12</f>
        <v>64.5</v>
      </c>
      <c r="BW31" s="45">
        <f>+'Cell 4 603'!CJ12</f>
        <v>58</v>
      </c>
      <c r="BX31" s="45">
        <f>+'Cell 4 603'!CK12</f>
        <v>74.333333333333329</v>
      </c>
      <c r="BY31" s="45">
        <f>+'Cell 4 603'!CL12</f>
        <v>76.333333333333329</v>
      </c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U31" s="171"/>
    </row>
    <row r="32" spans="1:153" s="12" customFormat="1" ht="23.25" customHeight="1" x14ac:dyDescent="0.25">
      <c r="A32" s="55"/>
      <c r="B32" s="238" t="s">
        <v>21</v>
      </c>
      <c r="C32" s="239" t="s">
        <v>78</v>
      </c>
      <c r="D32" s="239">
        <v>35</v>
      </c>
      <c r="E32" s="239">
        <v>31</v>
      </c>
      <c r="F32" s="239">
        <f t="shared" ref="F32" si="46">+E32-D32</f>
        <v>-4</v>
      </c>
      <c r="G32" s="135" t="str">
        <f>G30</f>
        <v>Output/Day</v>
      </c>
      <c r="H32" s="144">
        <v>126</v>
      </c>
      <c r="I32" s="144">
        <v>150</v>
      </c>
      <c r="J32" s="144">
        <v>144</v>
      </c>
      <c r="K32" s="153"/>
      <c r="L32" s="144">
        <v>222</v>
      </c>
      <c r="M32" s="144">
        <v>246</v>
      </c>
      <c r="N32" s="144">
        <v>216</v>
      </c>
      <c r="O32" s="144">
        <v>246</v>
      </c>
      <c r="P32" s="144">
        <v>246</v>
      </c>
      <c r="Q32" s="144">
        <v>288</v>
      </c>
      <c r="R32" s="144">
        <v>342</v>
      </c>
      <c r="S32" s="154"/>
      <c r="T32" s="154"/>
      <c r="U32" s="153"/>
      <c r="V32" s="153"/>
      <c r="W32" s="153"/>
      <c r="X32" s="153"/>
      <c r="Y32" s="153"/>
      <c r="Z32" s="154"/>
      <c r="AA32" s="153"/>
      <c r="AB32" s="154"/>
      <c r="AC32" s="154"/>
      <c r="AD32" s="153"/>
      <c r="AE32" s="153">
        <v>528</v>
      </c>
      <c r="AF32" s="153">
        <v>566</v>
      </c>
      <c r="AG32" s="153">
        <v>467</v>
      </c>
      <c r="AH32" s="153">
        <v>442</v>
      </c>
      <c r="AI32" s="153">
        <v>449</v>
      </c>
      <c r="AJ32" s="154">
        <v>583</v>
      </c>
      <c r="AK32" s="154">
        <v>692</v>
      </c>
      <c r="AL32" s="154">
        <v>714</v>
      </c>
      <c r="AM32" s="154">
        <v>774</v>
      </c>
      <c r="AN32" s="154">
        <v>798</v>
      </c>
      <c r="AO32" s="156">
        <f>+'Cell 5 603'!AS11</f>
        <v>502</v>
      </c>
      <c r="AP32" s="156">
        <f>+'Cell 5 603'!AT11</f>
        <v>714</v>
      </c>
      <c r="AQ32" s="156">
        <f>+'Cell 5 603'!AU11</f>
        <v>573</v>
      </c>
      <c r="AR32" s="156">
        <f>+'Cell 5 603'!AV11</f>
        <v>562</v>
      </c>
      <c r="AS32" s="156">
        <f>+'Cell 5 603'!AW11</f>
        <v>603</v>
      </c>
      <c r="AT32" s="156">
        <f>+'Cell 5 603'!AX11</f>
        <v>780</v>
      </c>
      <c r="AU32" s="156">
        <f>+'Cell 5 603'!AY11</f>
        <v>570</v>
      </c>
      <c r="AV32" s="156">
        <f>+'Cell 5 603'!AZ11</f>
        <v>450</v>
      </c>
      <c r="AW32" s="156">
        <f>+'Cell 5 603'!BA11</f>
        <v>515</v>
      </c>
      <c r="AX32" s="156">
        <f>+'Cell 5 603'!BB11</f>
        <v>515</v>
      </c>
      <c r="AY32" s="156">
        <f>+'Cell 5 603'!BC11</f>
        <v>550</v>
      </c>
      <c r="AZ32" s="156">
        <f>+'Cell 5 603'!BD11</f>
        <v>600</v>
      </c>
      <c r="BA32" s="156">
        <f>+'Cell 5 603'!BE11</f>
        <v>516</v>
      </c>
      <c r="BB32" s="156">
        <f>+'Cell 5 603'!BF11</f>
        <v>468</v>
      </c>
      <c r="BC32" s="156">
        <f>+'Cell 5 603'!BG11</f>
        <v>600</v>
      </c>
      <c r="BD32" s="156">
        <f>+'Cell 5 603'!BH11</f>
        <v>720</v>
      </c>
      <c r="BE32" s="156">
        <f>+'Cell 5 603'!BI11</f>
        <v>846</v>
      </c>
      <c r="BF32" s="156">
        <f>+'Cell 5 603'!BJ11</f>
        <v>828</v>
      </c>
      <c r="BG32" s="156">
        <f>+'Cell 5 603'!BK11</f>
        <v>744</v>
      </c>
      <c r="BH32" s="156">
        <f>+'Cell 5 603'!BL11</f>
        <v>711</v>
      </c>
      <c r="BI32" s="156">
        <f>+'Cell 5 603'!BM11</f>
        <v>702</v>
      </c>
      <c r="BJ32" s="156">
        <f>+'Cell 5 603'!BN11</f>
        <v>864</v>
      </c>
      <c r="BK32" s="156">
        <f>+'Cell 5 603'!BO11</f>
        <v>828</v>
      </c>
      <c r="BL32" s="156">
        <f>+'Cell 5 603'!BP11</f>
        <v>943</v>
      </c>
      <c r="BM32" s="156">
        <f>+'Cell 5 603'!BQ11</f>
        <v>726</v>
      </c>
      <c r="BN32" s="156">
        <f>+'Cell 5 603'!BR11</f>
        <v>924</v>
      </c>
      <c r="BO32" s="156">
        <f>+'Cell 5 603'!BS11</f>
        <v>774</v>
      </c>
      <c r="BP32" s="156">
        <f>+'Cell 5 603'!BT11</f>
        <v>756</v>
      </c>
      <c r="BQ32" s="156">
        <f>+'Cell 5 603'!BU11</f>
        <v>582</v>
      </c>
      <c r="BR32" s="156">
        <f>+'Cell 5 603'!BV11</f>
        <v>900</v>
      </c>
      <c r="BS32" s="156">
        <f>+'Cell 5 603'!BW11</f>
        <v>787</v>
      </c>
      <c r="BT32" s="156">
        <f>+'Cell 5 603'!BX11</f>
        <v>942</v>
      </c>
      <c r="BU32" s="156">
        <f>+'Cell 5 603'!BY11</f>
        <v>747</v>
      </c>
      <c r="BV32" s="156">
        <f>+'Cell 5 603'!BZ11</f>
        <v>768</v>
      </c>
      <c r="BW32" s="156">
        <f>+'Cell 5 603'!CA11</f>
        <v>774</v>
      </c>
      <c r="BX32" s="156">
        <f>+'Cell 5 603'!CB11</f>
        <v>1108</v>
      </c>
      <c r="BY32" s="156">
        <f>+'Cell 5 603'!CC11</f>
        <v>1000</v>
      </c>
      <c r="BZ32" s="153"/>
      <c r="CA32" s="154"/>
      <c r="CB32" s="154"/>
      <c r="CC32" s="153"/>
      <c r="CD32" s="153"/>
      <c r="CE32" s="153"/>
      <c r="CF32" s="153"/>
      <c r="CG32" s="153"/>
      <c r="CH32" s="153"/>
      <c r="CI32" s="154"/>
      <c r="CJ32" s="154"/>
      <c r="CK32" s="154"/>
      <c r="CL32" s="154"/>
      <c r="CM32" s="154"/>
      <c r="CN32" s="156"/>
      <c r="CO32" s="156"/>
      <c r="CP32" s="156"/>
      <c r="CQ32" s="156"/>
      <c r="CR32" s="156"/>
      <c r="CS32" s="156"/>
      <c r="CT32" s="156"/>
      <c r="CU32" s="156"/>
      <c r="CV32" s="156"/>
      <c r="CW32" s="156"/>
      <c r="CX32" s="156"/>
      <c r="CY32" s="156"/>
      <c r="CZ32" s="156"/>
      <c r="DA32" s="156"/>
      <c r="DB32" s="156"/>
      <c r="DC32" s="156"/>
      <c r="DD32" s="156"/>
      <c r="DE32" s="156"/>
      <c r="DF32" s="156"/>
      <c r="DG32" s="156"/>
      <c r="DH32" s="156"/>
      <c r="DI32" s="156"/>
      <c r="DJ32" s="156"/>
      <c r="DK32" s="156"/>
      <c r="DL32" s="156"/>
      <c r="DM32" s="156"/>
      <c r="DN32" s="156"/>
      <c r="DO32" s="156"/>
      <c r="DP32" s="156"/>
      <c r="DQ32" s="156"/>
      <c r="DR32" s="156"/>
      <c r="DS32" s="156"/>
      <c r="DT32" s="156"/>
      <c r="DU32" s="156"/>
      <c r="DV32" s="156"/>
      <c r="DW32" s="156"/>
      <c r="DX32" s="156"/>
      <c r="DY32" s="156"/>
      <c r="DZ32" s="156"/>
      <c r="EA32" s="156"/>
      <c r="EB32" s="156"/>
      <c r="EC32" s="156"/>
      <c r="ET32"/>
      <c r="EU32" s="171"/>
      <c r="EV32"/>
      <c r="EW32"/>
    </row>
    <row r="33" spans="1:153" ht="22.5" customHeight="1" x14ac:dyDescent="0.25">
      <c r="A33" s="54"/>
      <c r="B33" s="238"/>
      <c r="C33" s="240"/>
      <c r="D33" s="240"/>
      <c r="E33" s="240"/>
      <c r="F33" s="240"/>
      <c r="G33" s="135" t="s">
        <v>6</v>
      </c>
      <c r="H33" s="45">
        <f>H32/9</f>
        <v>14</v>
      </c>
      <c r="I33" s="45">
        <f>I32/9</f>
        <v>16.666666666666668</v>
      </c>
      <c r="J33" s="45">
        <f>J32/10</f>
        <v>14.4</v>
      </c>
      <c r="K33" s="45">
        <f>K32/9</f>
        <v>0</v>
      </c>
      <c r="L33" s="45">
        <f>+L32/9</f>
        <v>24.666666666666668</v>
      </c>
      <c r="M33" s="45">
        <f>+M32/9</f>
        <v>27.333333333333332</v>
      </c>
      <c r="N33" s="45">
        <f>N32/10</f>
        <v>21.6</v>
      </c>
      <c r="O33" s="45">
        <f>O32/10</f>
        <v>24.6</v>
      </c>
      <c r="P33" s="45">
        <f>P32/10</f>
        <v>24.6</v>
      </c>
      <c r="Q33" s="45">
        <f>Q32/10</f>
        <v>28.8</v>
      </c>
      <c r="R33" s="45">
        <f>SUM(R32:R32)/8</f>
        <v>42.75</v>
      </c>
      <c r="S33" s="45">
        <f>S32/8</f>
        <v>0</v>
      </c>
      <c r="T33" s="45">
        <f>T32/8</f>
        <v>0</v>
      </c>
      <c r="U33" s="45">
        <f>U32/8</f>
        <v>0</v>
      </c>
      <c r="V33" s="45">
        <f>V32/8</f>
        <v>0</v>
      </c>
      <c r="W33" s="45">
        <f>W32/8</f>
        <v>0</v>
      </c>
      <c r="X33" s="45">
        <f t="shared" ref="X33:AC33" si="47">SUM(X32:X32)/8</f>
        <v>0</v>
      </c>
      <c r="Y33" s="45">
        <f t="shared" si="47"/>
        <v>0</v>
      </c>
      <c r="Z33" s="45">
        <f t="shared" si="47"/>
        <v>0</v>
      </c>
      <c r="AA33" s="45">
        <f t="shared" si="47"/>
        <v>0</v>
      </c>
      <c r="AB33" s="45">
        <f t="shared" si="47"/>
        <v>0</v>
      </c>
      <c r="AC33" s="45">
        <f t="shared" si="47"/>
        <v>0</v>
      </c>
      <c r="AD33" s="45">
        <f>AD32/9</f>
        <v>0</v>
      </c>
      <c r="AE33" s="45">
        <f>AE32/9</f>
        <v>58.666666666666664</v>
      </c>
      <c r="AF33" s="45">
        <f>AF32/9</f>
        <v>62.888888888888886</v>
      </c>
      <c r="AG33" s="45">
        <f>AG32/10</f>
        <v>46.7</v>
      </c>
      <c r="AH33" s="45">
        <f>AH32/9</f>
        <v>49.111111111111114</v>
      </c>
      <c r="AI33" s="45">
        <f>+AI32/9</f>
        <v>49.888888888888886</v>
      </c>
      <c r="AJ33" s="45">
        <f>+AJ32/9</f>
        <v>64.777777777777771</v>
      </c>
      <c r="AK33" s="45">
        <f>AK32/9</f>
        <v>76.888888888888886</v>
      </c>
      <c r="AL33" s="45">
        <f>AL32/9</f>
        <v>79.333333333333329</v>
      </c>
      <c r="AM33" s="45">
        <f>AM32/9</f>
        <v>86</v>
      </c>
      <c r="AN33" s="45">
        <f>AN32/9</f>
        <v>88.666666666666671</v>
      </c>
      <c r="AO33" s="45">
        <f>+'Cell 5 603'!AS12</f>
        <v>50.2</v>
      </c>
      <c r="AP33" s="45">
        <f>+'Cell 5 603'!AT12</f>
        <v>71.400000000000006</v>
      </c>
      <c r="AQ33" s="45">
        <f>+'Cell 5 603'!AU12</f>
        <v>57.3</v>
      </c>
      <c r="AR33" s="45">
        <f>+'Cell 5 603'!AV12</f>
        <v>56.2</v>
      </c>
      <c r="AS33" s="45">
        <f>+'Cell 5 603'!AW12</f>
        <v>60.3</v>
      </c>
      <c r="AT33" s="45">
        <f>+'Cell 5 603'!AX12</f>
        <v>78</v>
      </c>
      <c r="AU33" s="45">
        <f>+'Cell 5 603'!AY12</f>
        <v>57</v>
      </c>
      <c r="AV33" s="45">
        <f>+'Cell 5 603'!AZ12</f>
        <v>45</v>
      </c>
      <c r="AW33" s="45">
        <f>+'Cell 5 603'!BA12</f>
        <v>51.5</v>
      </c>
      <c r="AX33" s="45">
        <f>+'Cell 5 603'!BB12</f>
        <v>51.5</v>
      </c>
      <c r="AY33" s="45">
        <f>+'Cell 5 603'!BC12</f>
        <v>55</v>
      </c>
      <c r="AZ33" s="45">
        <f>+'Cell 5 603'!BD12</f>
        <v>60</v>
      </c>
      <c r="BA33" s="45">
        <f>+'Cell 5 603'!BE12</f>
        <v>51.6</v>
      </c>
      <c r="BB33" s="45">
        <f>+'Cell 5 603'!BF12</f>
        <v>46.8</v>
      </c>
      <c r="BC33" s="45">
        <f>+'Cell 5 603'!BG12</f>
        <v>60</v>
      </c>
      <c r="BD33" s="45">
        <f>+'Cell 5 603'!BH12</f>
        <v>72</v>
      </c>
      <c r="BE33" s="45">
        <f>+'Cell 5 603'!BI12</f>
        <v>84.6</v>
      </c>
      <c r="BF33" s="45">
        <f>+'Cell 5 603'!BJ12</f>
        <v>75.272727272727266</v>
      </c>
      <c r="BG33" s="45">
        <f>+'Cell 5 603'!BK12</f>
        <v>62</v>
      </c>
      <c r="BH33" s="45">
        <f>+'Cell 5 603'!BL12</f>
        <v>64.63636363636364</v>
      </c>
      <c r="BI33" s="45">
        <f>+'Cell 5 603'!BM12</f>
        <v>63.81818181818182</v>
      </c>
      <c r="BJ33" s="45">
        <f>+'Cell 5 603'!BN12</f>
        <v>78.545454545454547</v>
      </c>
      <c r="BK33" s="45">
        <f>+'Cell 5 603'!BO12</f>
        <v>75.272727272727266</v>
      </c>
      <c r="BL33" s="45">
        <f>+'Cell 5 603'!BP12</f>
        <v>85.727272727272734</v>
      </c>
      <c r="BM33" s="45">
        <f>+'Cell 5 603'!BQ12</f>
        <v>60.5</v>
      </c>
      <c r="BN33" s="45">
        <f>+'Cell 5 603'!BR12</f>
        <v>77</v>
      </c>
      <c r="BO33" s="45">
        <f>+'Cell 5 603'!BS12</f>
        <v>64.5</v>
      </c>
      <c r="BP33" s="45">
        <f>+'Cell 5 603'!BT12</f>
        <v>63</v>
      </c>
      <c r="BQ33" s="45">
        <f>+'Cell 5 603'!BU12</f>
        <v>58.2</v>
      </c>
      <c r="BR33" s="45">
        <f>+'Cell 5 603'!BV12</f>
        <v>75</v>
      </c>
      <c r="BS33" s="45">
        <f>+'Cell 5 603'!BW12</f>
        <v>65.583333333333329</v>
      </c>
      <c r="BT33" s="45">
        <f>+'Cell 5 603'!BX12</f>
        <v>78.5</v>
      </c>
      <c r="BU33" s="45">
        <f>+'Cell 5 603'!BY12</f>
        <v>62.25</v>
      </c>
      <c r="BV33" s="45">
        <f>+'Cell 5 603'!BZ12</f>
        <v>64</v>
      </c>
      <c r="BW33" s="45">
        <f>+'Cell 5 603'!CA12</f>
        <v>64.5</v>
      </c>
      <c r="BX33" s="45">
        <f>+'Cell 5 603'!CB12</f>
        <v>92.333333333333329</v>
      </c>
      <c r="BY33" s="45">
        <f>+'Cell 5 603'!CC12</f>
        <v>83.333333333333329</v>
      </c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  <c r="DU33" s="45"/>
      <c r="DV33" s="45"/>
      <c r="DW33" s="45"/>
      <c r="DX33" s="45"/>
      <c r="DY33" s="45"/>
      <c r="DZ33" s="45"/>
      <c r="EA33" s="45"/>
      <c r="EB33" s="45"/>
      <c r="EC33" s="45"/>
      <c r="EU33" s="171"/>
    </row>
    <row r="34" spans="1:153" s="12" customFormat="1" ht="23.25" customHeight="1" x14ac:dyDescent="0.25">
      <c r="A34" s="55"/>
      <c r="B34" s="238" t="s">
        <v>20</v>
      </c>
      <c r="C34" s="239" t="s">
        <v>83</v>
      </c>
      <c r="D34" s="239">
        <v>35</v>
      </c>
      <c r="E34" s="239">
        <v>28</v>
      </c>
      <c r="F34" s="239">
        <f t="shared" ref="F34" si="48">+E34-D34</f>
        <v>-7</v>
      </c>
      <c r="G34" s="135" t="str">
        <f>G30</f>
        <v>Output/Day</v>
      </c>
      <c r="H34" s="144">
        <v>72</v>
      </c>
      <c r="I34" s="144">
        <v>126</v>
      </c>
      <c r="J34" s="144">
        <v>150</v>
      </c>
      <c r="K34" s="153"/>
      <c r="L34" s="144">
        <v>107</v>
      </c>
      <c r="M34" s="144">
        <v>270</v>
      </c>
      <c r="N34" s="144">
        <v>180</v>
      </c>
      <c r="O34" s="144">
        <v>246</v>
      </c>
      <c r="P34" s="144">
        <v>342</v>
      </c>
      <c r="Q34" s="144">
        <v>402</v>
      </c>
      <c r="R34" s="144">
        <v>420</v>
      </c>
      <c r="S34" s="154"/>
      <c r="T34" s="154"/>
      <c r="U34" s="153"/>
      <c r="V34" s="153"/>
      <c r="W34" s="153"/>
      <c r="X34" s="153"/>
      <c r="Y34" s="153"/>
      <c r="Z34" s="154"/>
      <c r="AA34" s="153"/>
      <c r="AB34" s="154"/>
      <c r="AC34" s="154"/>
      <c r="AD34" s="153"/>
      <c r="AE34" s="153">
        <v>541</v>
      </c>
      <c r="AF34" s="153">
        <v>600</v>
      </c>
      <c r="AG34" s="153">
        <v>504</v>
      </c>
      <c r="AH34" s="153">
        <v>722</v>
      </c>
      <c r="AI34" s="153">
        <v>504</v>
      </c>
      <c r="AJ34" s="154">
        <v>540</v>
      </c>
      <c r="AK34" s="154">
        <v>612</v>
      </c>
      <c r="AL34" s="154">
        <v>703</v>
      </c>
      <c r="AM34" s="154">
        <v>774</v>
      </c>
      <c r="AN34" s="154">
        <v>800</v>
      </c>
      <c r="AO34" s="156">
        <f>+'Cell 10 603'!AI11</f>
        <v>750</v>
      </c>
      <c r="AP34" s="156">
        <f>+'Cell 10 603'!AJ11</f>
        <v>777</v>
      </c>
      <c r="AQ34" s="156">
        <f>+'Cell 10 603'!AK11</f>
        <v>528</v>
      </c>
      <c r="AR34" s="156">
        <f>+'Cell 10 603'!AL11</f>
        <v>550</v>
      </c>
      <c r="AS34" s="156">
        <f>+'Cell 10 603'!AM11</f>
        <v>636</v>
      </c>
      <c r="AT34" s="156">
        <f>+'Cell 10 603'!AN11</f>
        <v>510</v>
      </c>
      <c r="AU34" s="156">
        <f>+'Cell 10 603'!AO11</f>
        <v>477</v>
      </c>
      <c r="AV34" s="156">
        <f>+'Cell 10 603'!AP11</f>
        <v>550</v>
      </c>
      <c r="AW34" s="156">
        <f>+'Cell 10 603'!AQ11</f>
        <v>555</v>
      </c>
      <c r="AX34" s="156">
        <f>+'Cell 10 603'!AR11</f>
        <v>448</v>
      </c>
      <c r="AY34" s="156">
        <f>+'Cell 10 603'!AS11</f>
        <v>576</v>
      </c>
      <c r="AZ34" s="156">
        <f>+'Cell 10 603'!AT11</f>
        <v>720</v>
      </c>
      <c r="BA34" s="156">
        <f>+'Cell 10 603'!AU11</f>
        <v>648</v>
      </c>
      <c r="BB34" s="156">
        <f>+'Cell 10 603'!AV11</f>
        <v>618</v>
      </c>
      <c r="BC34" s="156">
        <f>+'Cell 10 603'!AW11</f>
        <v>651</v>
      </c>
      <c r="BD34" s="156">
        <f>+'Cell 10 603'!AX11</f>
        <v>600</v>
      </c>
      <c r="BE34" s="156">
        <f>+'Cell 10 603'!AY11</f>
        <v>684</v>
      </c>
      <c r="BF34" s="156">
        <f>+'Cell 10 603'!AZ11</f>
        <v>694</v>
      </c>
      <c r="BG34" s="156">
        <f>+'Cell 10 603'!BA11</f>
        <v>738</v>
      </c>
      <c r="BH34" s="156">
        <f>+'Cell 10 603'!BB11</f>
        <v>702</v>
      </c>
      <c r="BI34" s="156">
        <f>+'Cell 10 603'!BC11</f>
        <v>624</v>
      </c>
      <c r="BJ34" s="156">
        <f>+'Cell 10 603'!BD11</f>
        <v>788</v>
      </c>
      <c r="BK34" s="156">
        <f>+'Cell 10 603'!BE11</f>
        <v>689</v>
      </c>
      <c r="BL34" s="156">
        <f>+'Cell 10 603'!BF11</f>
        <v>664</v>
      </c>
      <c r="BM34" s="156">
        <f>+'Cell 10 603'!BG11</f>
        <v>720</v>
      </c>
      <c r="BN34" s="156">
        <f>+'Cell 10 603'!BH11</f>
        <v>775</v>
      </c>
      <c r="BO34" s="156">
        <f>+'Cell 10 603'!BI11</f>
        <v>679</v>
      </c>
      <c r="BP34" s="156">
        <f>+'Cell 10 603'!BJ11</f>
        <v>894</v>
      </c>
      <c r="BQ34" s="156">
        <f>+'Cell 10 603'!BK11</f>
        <v>563</v>
      </c>
      <c r="BR34" s="156">
        <f>+'Cell 10 603'!BL11</f>
        <v>745</v>
      </c>
      <c r="BS34" s="156">
        <f>+'Cell 10 603'!BM11</f>
        <v>738</v>
      </c>
      <c r="BT34" s="156">
        <f>+'Cell 10 603'!BN11</f>
        <v>574</v>
      </c>
      <c r="BU34" s="156">
        <f>+'Cell 10 603'!BO11</f>
        <v>754</v>
      </c>
      <c r="BV34" s="156">
        <f>+'Cell 10 603'!BP11</f>
        <v>648</v>
      </c>
      <c r="BW34" s="156">
        <f>+'Cell 10 603'!BQ11</f>
        <v>635</v>
      </c>
      <c r="BX34" s="156">
        <f>+'Cell 10 603'!BR11</f>
        <v>764</v>
      </c>
      <c r="BY34" s="156">
        <f>+'Cell 10 603'!BS11</f>
        <v>1680</v>
      </c>
      <c r="BZ34" s="153"/>
      <c r="CA34" s="154"/>
      <c r="CB34" s="154"/>
      <c r="CC34" s="153"/>
      <c r="CD34" s="153"/>
      <c r="CE34" s="153"/>
      <c r="CF34" s="153"/>
      <c r="CG34" s="153"/>
      <c r="CH34" s="153"/>
      <c r="CI34" s="154"/>
      <c r="CJ34" s="154"/>
      <c r="CK34" s="154"/>
      <c r="CL34" s="154"/>
      <c r="CM34" s="154"/>
      <c r="CN34" s="156"/>
      <c r="CO34" s="156"/>
      <c r="CP34" s="156"/>
      <c r="CQ34" s="156"/>
      <c r="CR34" s="156"/>
      <c r="CS34" s="156"/>
      <c r="CT34" s="156"/>
      <c r="CU34" s="156"/>
      <c r="CV34" s="156"/>
      <c r="CW34" s="156"/>
      <c r="CX34" s="156"/>
      <c r="CY34" s="156"/>
      <c r="CZ34" s="156"/>
      <c r="DA34" s="156"/>
      <c r="DB34" s="156"/>
      <c r="DC34" s="156"/>
      <c r="DD34" s="156"/>
      <c r="DE34" s="156"/>
      <c r="DF34" s="156"/>
      <c r="DG34" s="156"/>
      <c r="DH34" s="156"/>
      <c r="DI34" s="156"/>
      <c r="DJ34" s="156"/>
      <c r="DK34" s="156"/>
      <c r="DL34" s="156"/>
      <c r="DM34" s="156"/>
      <c r="DN34" s="156"/>
      <c r="DO34" s="156"/>
      <c r="DP34" s="156"/>
      <c r="DQ34" s="156"/>
      <c r="DR34" s="156"/>
      <c r="DS34" s="156"/>
      <c r="DT34" s="156"/>
      <c r="DU34" s="156"/>
      <c r="DV34" s="156"/>
      <c r="DW34" s="156"/>
      <c r="DX34" s="156"/>
      <c r="DY34" s="156"/>
      <c r="DZ34" s="156"/>
      <c r="EA34" s="156"/>
      <c r="EB34" s="156"/>
      <c r="EC34" s="156"/>
      <c r="ET34"/>
      <c r="EU34" s="171"/>
      <c r="EV34"/>
      <c r="EW34"/>
    </row>
    <row r="35" spans="1:153" ht="23.25" customHeight="1" x14ac:dyDescent="0.25">
      <c r="A35" s="54"/>
      <c r="B35" s="238"/>
      <c r="C35" s="240"/>
      <c r="D35" s="240"/>
      <c r="E35" s="240"/>
      <c r="F35" s="240"/>
      <c r="G35" s="135" t="s">
        <v>6</v>
      </c>
      <c r="H35" s="45">
        <f>H34/9</f>
        <v>8</v>
      </c>
      <c r="I35" s="45">
        <f>I34/9</f>
        <v>14</v>
      </c>
      <c r="J35" s="45">
        <f>J34/9</f>
        <v>16.666666666666668</v>
      </c>
      <c r="K35" s="45">
        <f>K34/9</f>
        <v>0</v>
      </c>
      <c r="L35" s="45">
        <f>+L34/9</f>
        <v>11.888888888888889</v>
      </c>
      <c r="M35" s="45">
        <f>+M34/9</f>
        <v>30</v>
      </c>
      <c r="N35" s="45">
        <f>N34/9</f>
        <v>20</v>
      </c>
      <c r="O35" s="45">
        <f>O34/9</f>
        <v>27.333333333333332</v>
      </c>
      <c r="P35" s="45">
        <f>P34/9</f>
        <v>38</v>
      </c>
      <c r="Q35" s="45">
        <f>Q34/9</f>
        <v>44.666666666666664</v>
      </c>
      <c r="R35" s="45">
        <f>SUM(R34:R34)/8</f>
        <v>52.5</v>
      </c>
      <c r="S35" s="45">
        <f>S34/8</f>
        <v>0</v>
      </c>
      <c r="T35" s="45">
        <f>T34/8</f>
        <v>0</v>
      </c>
      <c r="U35" s="45">
        <f>U34/8</f>
        <v>0</v>
      </c>
      <c r="V35" s="45">
        <f>V34/8</f>
        <v>0</v>
      </c>
      <c r="W35" s="45">
        <f>W34/8</f>
        <v>0</v>
      </c>
      <c r="X35" s="45">
        <f t="shared" ref="X35:AC35" si="49">SUM(X34:X34)/8</f>
        <v>0</v>
      </c>
      <c r="Y35" s="45">
        <f t="shared" si="49"/>
        <v>0</v>
      </c>
      <c r="Z35" s="45">
        <f t="shared" si="49"/>
        <v>0</v>
      </c>
      <c r="AA35" s="45">
        <f t="shared" si="49"/>
        <v>0</v>
      </c>
      <c r="AB35" s="45">
        <f t="shared" si="49"/>
        <v>0</v>
      </c>
      <c r="AC35" s="45">
        <f t="shared" si="49"/>
        <v>0</v>
      </c>
      <c r="AD35" s="45">
        <f>AD34/9</f>
        <v>0</v>
      </c>
      <c r="AE35" s="45">
        <f>AE34/9</f>
        <v>60.111111111111114</v>
      </c>
      <c r="AF35" s="45">
        <f>AF34/9</f>
        <v>66.666666666666671</v>
      </c>
      <c r="AG35" s="45">
        <f>AG34/9</f>
        <v>56</v>
      </c>
      <c r="AH35" s="45">
        <f>AH34/9</f>
        <v>80.222222222222229</v>
      </c>
      <c r="AI35" s="45">
        <f>+AI34/9</f>
        <v>56</v>
      </c>
      <c r="AJ35" s="45">
        <f>+AJ34/9</f>
        <v>60</v>
      </c>
      <c r="AK35" s="45">
        <f>AK34/9</f>
        <v>68</v>
      </c>
      <c r="AL35" s="45">
        <f>AL34/9</f>
        <v>78.111111111111114</v>
      </c>
      <c r="AM35" s="45">
        <f>AM34/9</f>
        <v>86</v>
      </c>
      <c r="AN35" s="45">
        <f>AN34/9</f>
        <v>88.888888888888886</v>
      </c>
      <c r="AO35" s="45">
        <f>+'Cell 10 603'!AI12</f>
        <v>75</v>
      </c>
      <c r="AP35" s="45">
        <f>+'Cell 10 603'!AJ12</f>
        <v>77.7</v>
      </c>
      <c r="AQ35" s="45">
        <f>+'Cell 10 603'!AK12</f>
        <v>66</v>
      </c>
      <c r="AR35" s="45">
        <f>+'Cell 10 603'!AL12</f>
        <v>68.75</v>
      </c>
      <c r="AS35" s="45">
        <f>+'Cell 10 603'!AM12</f>
        <v>63.6</v>
      </c>
      <c r="AT35" s="45">
        <f>+'Cell 10 603'!AN12</f>
        <v>56.666666666666664</v>
      </c>
      <c r="AU35" s="45">
        <f>+'Cell 10 603'!AO12</f>
        <v>47.7</v>
      </c>
      <c r="AV35" s="45">
        <f>+'Cell 10 603'!AP12</f>
        <v>55</v>
      </c>
      <c r="AW35" s="45">
        <f>+'Cell 10 603'!AQ12</f>
        <v>55.5</v>
      </c>
      <c r="AX35" s="45">
        <f>+'Cell 10 603'!AR12</f>
        <v>44.8</v>
      </c>
      <c r="AY35" s="45">
        <f>+'Cell 10 603'!AS12</f>
        <v>57.6</v>
      </c>
      <c r="AZ35" s="45">
        <f>+'Cell 10 603'!AT12</f>
        <v>72</v>
      </c>
      <c r="BA35" s="45">
        <f>+'Cell 10 603'!AU12</f>
        <v>64.8</v>
      </c>
      <c r="BB35" s="45">
        <f>+'Cell 10 603'!AV12</f>
        <v>61.8</v>
      </c>
      <c r="BC35" s="45">
        <f>+'Cell 10 603'!AW12</f>
        <v>65.099999999999994</v>
      </c>
      <c r="BD35" s="45">
        <f>+'Cell 10 603'!AX12</f>
        <v>60</v>
      </c>
      <c r="BE35" s="45">
        <f>+'Cell 10 603'!AY12</f>
        <v>68.400000000000006</v>
      </c>
      <c r="BF35" s="45">
        <f>+'Cell 10 603'!AZ12</f>
        <v>63.090909090909093</v>
      </c>
      <c r="BG35" s="45">
        <f>+'Cell 10 603'!BA12</f>
        <v>67.090909090909093</v>
      </c>
      <c r="BH35" s="45">
        <f>+'Cell 10 603'!BB12</f>
        <v>63.81818181818182</v>
      </c>
      <c r="BI35" s="45">
        <f>+'Cell 10 603'!BC12</f>
        <v>56.727272727272727</v>
      </c>
      <c r="BJ35" s="45">
        <f>+'Cell 10 603'!BD12</f>
        <v>71.63636363636364</v>
      </c>
      <c r="BK35" s="45">
        <f>+'Cell 10 603'!BE12</f>
        <v>62.636363636363633</v>
      </c>
      <c r="BL35" s="45">
        <f>+'Cell 10 603'!BF12</f>
        <v>60.363636363636367</v>
      </c>
      <c r="BM35" s="45">
        <f>+'Cell 10 603'!BG12</f>
        <v>60</v>
      </c>
      <c r="BN35" s="45">
        <f>+'Cell 10 603'!BH12</f>
        <v>64.583333333333329</v>
      </c>
      <c r="BO35" s="45">
        <f>+'Cell 10 603'!BI12</f>
        <v>56.583333333333336</v>
      </c>
      <c r="BP35" s="45">
        <f>+'Cell 10 603'!BJ12</f>
        <v>74.5</v>
      </c>
      <c r="BQ35" s="45">
        <f>+'Cell 10 603'!BK12</f>
        <v>56.3</v>
      </c>
      <c r="BR35" s="45">
        <f>+'Cell 10 603'!BL12</f>
        <v>62.083333333333336</v>
      </c>
      <c r="BS35" s="45">
        <f>+'Cell 10 603'!BM12</f>
        <v>61.5</v>
      </c>
      <c r="BT35" s="45">
        <f>+'Cell 10 603'!BN12</f>
        <v>47.833333333333336</v>
      </c>
      <c r="BU35" s="45">
        <f>+'Cell 10 603'!BO12</f>
        <v>62.833333333333336</v>
      </c>
      <c r="BV35" s="45">
        <f>+'Cell 10 603'!BP12</f>
        <v>54</v>
      </c>
      <c r="BW35" s="45">
        <f>+'Cell 10 603'!BQ12</f>
        <v>52.916666666666664</v>
      </c>
      <c r="BX35" s="45">
        <f>+'Cell 10 603'!BR12</f>
        <v>63.666666666666664</v>
      </c>
      <c r="BY35" s="45">
        <f>+'Cell 10 603'!BS12</f>
        <v>140</v>
      </c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45"/>
      <c r="DX35" s="45"/>
      <c r="DY35" s="45"/>
      <c r="DZ35" s="45"/>
      <c r="EA35" s="45"/>
      <c r="EB35" s="45"/>
      <c r="EC35" s="45"/>
      <c r="EU35" s="171"/>
    </row>
    <row r="36" spans="1:153" s="12" customFormat="1" ht="23.25" customHeight="1" x14ac:dyDescent="0.25">
      <c r="A36" s="55"/>
      <c r="B36" s="238" t="s">
        <v>35</v>
      </c>
      <c r="C36" s="239" t="s">
        <v>85</v>
      </c>
      <c r="D36" s="239">
        <v>35</v>
      </c>
      <c r="E36" s="239">
        <v>31</v>
      </c>
      <c r="F36" s="239">
        <f t="shared" ref="F36" si="50">+E36-D36</f>
        <v>-4</v>
      </c>
      <c r="G36" s="135" t="str">
        <f>G32</f>
        <v>Output/Day</v>
      </c>
      <c r="H36" s="144">
        <v>72</v>
      </c>
      <c r="I36" s="144">
        <v>126</v>
      </c>
      <c r="J36" s="144">
        <v>150</v>
      </c>
      <c r="K36" s="153"/>
      <c r="L36" s="144">
        <v>107</v>
      </c>
      <c r="M36" s="144">
        <v>270</v>
      </c>
      <c r="N36" s="144">
        <v>180</v>
      </c>
      <c r="O36" s="144">
        <v>246</v>
      </c>
      <c r="P36" s="144">
        <v>342</v>
      </c>
      <c r="Q36" s="144">
        <v>402</v>
      </c>
      <c r="R36" s="144">
        <v>420</v>
      </c>
      <c r="S36" s="154"/>
      <c r="T36" s="154"/>
      <c r="U36" s="153"/>
      <c r="V36" s="153"/>
      <c r="W36" s="153"/>
      <c r="X36" s="153"/>
      <c r="Y36" s="153"/>
      <c r="Z36" s="154"/>
      <c r="AA36" s="153"/>
      <c r="AB36" s="154"/>
      <c r="AC36" s="154"/>
      <c r="AD36" s="153"/>
      <c r="AE36" s="153">
        <v>541</v>
      </c>
      <c r="AF36" s="153">
        <v>600</v>
      </c>
      <c r="AG36" s="153">
        <v>504</v>
      </c>
      <c r="AH36" s="153">
        <v>722</v>
      </c>
      <c r="AI36" s="153">
        <v>504</v>
      </c>
      <c r="AJ36" s="154">
        <v>540</v>
      </c>
      <c r="AK36" s="154">
        <v>612</v>
      </c>
      <c r="AL36" s="154">
        <v>703</v>
      </c>
      <c r="AM36" s="154">
        <v>774</v>
      </c>
      <c r="AN36" s="154">
        <v>800</v>
      </c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44"/>
      <c r="BH36" s="144"/>
      <c r="BI36" s="144"/>
      <c r="BJ36" s="153">
        <f>+'Cell 9 603'!F11</f>
        <v>0</v>
      </c>
      <c r="BK36" s="153">
        <f>+'Cell 9 603'!G11</f>
        <v>0</v>
      </c>
      <c r="BL36" s="153">
        <f>+'Cell 9 603'!H11</f>
        <v>0</v>
      </c>
      <c r="BM36" s="153">
        <f>+'Cell 9 603'!I11</f>
        <v>0</v>
      </c>
      <c r="BN36" s="153">
        <f>+'Cell 9 603'!J11</f>
        <v>108</v>
      </c>
      <c r="BO36" s="153">
        <f>+'Cell 9 603'!K11</f>
        <v>138</v>
      </c>
      <c r="BP36" s="153">
        <f>+'Cell 9 603'!L11</f>
        <v>132</v>
      </c>
      <c r="BQ36" s="153">
        <f>+'Cell 9 603'!M11</f>
        <v>0</v>
      </c>
      <c r="BR36" s="153">
        <f>+'Cell 9 603'!N11</f>
        <v>276</v>
      </c>
      <c r="BS36" s="153">
        <f>+'Cell 9 603'!O11</f>
        <v>270</v>
      </c>
      <c r="BT36" s="153">
        <f>+'Cell 9 603'!P11</f>
        <v>222</v>
      </c>
      <c r="BU36" s="153">
        <f>+'Cell 9 603'!Q11</f>
        <v>276</v>
      </c>
      <c r="BV36" s="153">
        <f>+'Cell 9 603'!R11</f>
        <v>288</v>
      </c>
      <c r="BW36" s="153">
        <f>+'Cell 9 603'!S11</f>
        <v>354</v>
      </c>
      <c r="BX36" s="153">
        <f>+'Cell 9 603'!T11</f>
        <v>378</v>
      </c>
      <c r="BY36" s="153">
        <f>+'Cell 9 603'!U11</f>
        <v>228</v>
      </c>
      <c r="BZ36" s="153"/>
      <c r="CA36" s="154"/>
      <c r="CB36" s="154"/>
      <c r="CC36" s="153"/>
      <c r="CD36" s="153"/>
      <c r="CE36" s="153"/>
      <c r="CF36" s="153"/>
      <c r="CG36" s="153"/>
      <c r="CH36" s="153"/>
      <c r="CI36" s="154"/>
      <c r="CJ36" s="154"/>
      <c r="CK36" s="154"/>
      <c r="CL36" s="154"/>
      <c r="CM36" s="154"/>
      <c r="CN36" s="156"/>
      <c r="CO36" s="156"/>
      <c r="CP36" s="156"/>
      <c r="CQ36" s="156"/>
      <c r="CR36" s="156"/>
      <c r="CS36" s="156"/>
      <c r="CT36" s="156"/>
      <c r="CU36" s="156"/>
      <c r="CV36" s="156"/>
      <c r="CW36" s="156"/>
      <c r="CX36" s="156"/>
      <c r="CY36" s="156"/>
      <c r="CZ36" s="156"/>
      <c r="DA36" s="156"/>
      <c r="DB36" s="156"/>
      <c r="DC36" s="156"/>
      <c r="DD36" s="156"/>
      <c r="DE36" s="156"/>
      <c r="DF36" s="156"/>
      <c r="DG36" s="156"/>
      <c r="DH36" s="156"/>
      <c r="DI36" s="156"/>
      <c r="DJ36" s="156"/>
      <c r="DK36" s="156"/>
      <c r="DL36" s="156"/>
      <c r="DM36" s="156"/>
      <c r="DN36" s="156"/>
      <c r="DO36" s="156"/>
      <c r="DP36" s="156"/>
      <c r="DQ36" s="156"/>
      <c r="DR36" s="156"/>
      <c r="DS36" s="156"/>
      <c r="DT36" s="156"/>
      <c r="DU36" s="156"/>
      <c r="DV36" s="156"/>
      <c r="DW36" s="156"/>
      <c r="DX36" s="156"/>
      <c r="DY36" s="156"/>
      <c r="DZ36" s="156"/>
      <c r="EA36" s="156"/>
      <c r="EB36" s="156"/>
      <c r="EC36" s="156"/>
      <c r="ET36"/>
      <c r="EU36" s="171"/>
      <c r="EV36"/>
      <c r="EW36"/>
    </row>
    <row r="37" spans="1:153" ht="23.25" customHeight="1" x14ac:dyDescent="0.25">
      <c r="A37" s="54"/>
      <c r="B37" s="238"/>
      <c r="C37" s="240"/>
      <c r="D37" s="240"/>
      <c r="E37" s="240"/>
      <c r="F37" s="240"/>
      <c r="G37" s="135" t="s">
        <v>6</v>
      </c>
      <c r="H37" s="45">
        <f>H36/9</f>
        <v>8</v>
      </c>
      <c r="I37" s="45">
        <f>I36/9</f>
        <v>14</v>
      </c>
      <c r="J37" s="45">
        <f>J36/9</f>
        <v>16.666666666666668</v>
      </c>
      <c r="K37" s="45">
        <f>K36/9</f>
        <v>0</v>
      </c>
      <c r="L37" s="45">
        <f>+L36/9</f>
        <v>11.888888888888889</v>
      </c>
      <c r="M37" s="45">
        <f>+M36/9</f>
        <v>30</v>
      </c>
      <c r="N37" s="45">
        <f>N36/9</f>
        <v>20</v>
      </c>
      <c r="O37" s="45">
        <f>O36/9</f>
        <v>27.333333333333332</v>
      </c>
      <c r="P37" s="45">
        <f>P36/9</f>
        <v>38</v>
      </c>
      <c r="Q37" s="45">
        <f>Q36/9</f>
        <v>44.666666666666664</v>
      </c>
      <c r="R37" s="45">
        <f>SUM(R36:R36)/8</f>
        <v>52.5</v>
      </c>
      <c r="S37" s="45">
        <f>S36/8</f>
        <v>0</v>
      </c>
      <c r="T37" s="45">
        <f>T36/8</f>
        <v>0</v>
      </c>
      <c r="U37" s="45">
        <f>U36/8</f>
        <v>0</v>
      </c>
      <c r="V37" s="45">
        <f>V36/8</f>
        <v>0</v>
      </c>
      <c r="W37" s="45">
        <f>W36/8</f>
        <v>0</v>
      </c>
      <c r="X37" s="45">
        <f t="shared" ref="X37:AC37" si="51">SUM(X36:X36)/8</f>
        <v>0</v>
      </c>
      <c r="Y37" s="45">
        <f t="shared" si="51"/>
        <v>0</v>
      </c>
      <c r="Z37" s="45">
        <f t="shared" si="51"/>
        <v>0</v>
      </c>
      <c r="AA37" s="45">
        <f t="shared" si="51"/>
        <v>0</v>
      </c>
      <c r="AB37" s="45">
        <f t="shared" si="51"/>
        <v>0</v>
      </c>
      <c r="AC37" s="45">
        <f t="shared" si="51"/>
        <v>0</v>
      </c>
      <c r="AD37" s="45">
        <f>AD36/9</f>
        <v>0</v>
      </c>
      <c r="AE37" s="45">
        <f>AE36/9</f>
        <v>60.111111111111114</v>
      </c>
      <c r="AF37" s="45">
        <f>AF36/9</f>
        <v>66.666666666666671</v>
      </c>
      <c r="AG37" s="45">
        <f>AG36/9</f>
        <v>56</v>
      </c>
      <c r="AH37" s="45">
        <f>AH36/9</f>
        <v>80.222222222222229</v>
      </c>
      <c r="AI37" s="45">
        <f>+AI36/9</f>
        <v>56</v>
      </c>
      <c r="AJ37" s="45">
        <f>+AJ36/9</f>
        <v>60</v>
      </c>
      <c r="AK37" s="45">
        <f>AK36/9</f>
        <v>68</v>
      </c>
      <c r="AL37" s="45">
        <f>AL36/9</f>
        <v>78.111111111111114</v>
      </c>
      <c r="AM37" s="45">
        <f>AM36/9</f>
        <v>86</v>
      </c>
      <c r="AN37" s="45">
        <f>AN36/9</f>
        <v>88.888888888888886</v>
      </c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>
        <f>+'Cell 9 603'!F12</f>
        <v>0</v>
      </c>
      <c r="BK37" s="45">
        <f>+'Cell 9 603'!G12</f>
        <v>0</v>
      </c>
      <c r="BL37" s="45">
        <f>+'Cell 9 603'!H12</f>
        <v>0</v>
      </c>
      <c r="BM37" s="45">
        <f>+'Cell 9 603'!I12</f>
        <v>0</v>
      </c>
      <c r="BN37" s="45">
        <f>+'Cell 9 603'!J12</f>
        <v>13.5</v>
      </c>
      <c r="BO37" s="45">
        <f>+'Cell 9 603'!K12</f>
        <v>17.25</v>
      </c>
      <c r="BP37" s="45">
        <f>+'Cell 9 603'!L12</f>
        <v>16.5</v>
      </c>
      <c r="BQ37" s="45">
        <f>+'Cell 9 603'!M12</f>
        <v>0</v>
      </c>
      <c r="BR37" s="45">
        <f>+'Cell 9 603'!N12</f>
        <v>34.5</v>
      </c>
      <c r="BS37" s="45">
        <f>+'Cell 9 603'!O12</f>
        <v>33.75</v>
      </c>
      <c r="BT37" s="45">
        <f>+'Cell 9 603'!P12</f>
        <v>24.666666666666668</v>
      </c>
      <c r="BU37" s="45">
        <f>+'Cell 9 603'!Q12</f>
        <v>30.666666666666668</v>
      </c>
      <c r="BV37" s="45">
        <f>+'Cell 9 603'!R12</f>
        <v>36</v>
      </c>
      <c r="BW37" s="45">
        <f>+'Cell 9 603'!S12</f>
        <v>44.25</v>
      </c>
      <c r="BX37" s="45">
        <f>+'Cell 9 603'!T12</f>
        <v>37.799999999999997</v>
      </c>
      <c r="BY37" s="45">
        <f>+'Cell 9 603'!U12</f>
        <v>25.333333333333332</v>
      </c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5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  <c r="DF37" s="45"/>
      <c r="DG37" s="45"/>
      <c r="DH37" s="45"/>
      <c r="DI37" s="45"/>
      <c r="DJ37" s="45"/>
      <c r="DK37" s="45"/>
      <c r="DL37" s="45"/>
      <c r="DM37" s="45"/>
      <c r="DN37" s="45"/>
      <c r="DO37" s="45"/>
      <c r="DP37" s="45"/>
      <c r="DQ37" s="45"/>
      <c r="DR37" s="45"/>
      <c r="DS37" s="45"/>
      <c r="DT37" s="45"/>
      <c r="DU37" s="45"/>
      <c r="DV37" s="45"/>
      <c r="DW37" s="45"/>
      <c r="DX37" s="45"/>
      <c r="DY37" s="45"/>
      <c r="DZ37" s="45"/>
      <c r="EA37" s="45"/>
      <c r="EB37" s="45"/>
      <c r="EC37" s="45"/>
    </row>
    <row r="38" spans="1:153" s="12" customFormat="1" ht="23.25" customHeight="1" x14ac:dyDescent="0.25">
      <c r="A38" s="55"/>
      <c r="B38" s="238" t="s">
        <v>27</v>
      </c>
      <c r="C38" s="239" t="s">
        <v>84</v>
      </c>
      <c r="D38" s="239">
        <v>35</v>
      </c>
      <c r="E38" s="239">
        <v>32</v>
      </c>
      <c r="F38" s="239">
        <f t="shared" ref="F38" si="52">+E38-D38</f>
        <v>-3</v>
      </c>
      <c r="G38" s="135" t="str">
        <f>G34</f>
        <v>Output/Day</v>
      </c>
      <c r="H38" s="144">
        <v>72</v>
      </c>
      <c r="I38" s="144">
        <v>126</v>
      </c>
      <c r="J38" s="144">
        <v>150</v>
      </c>
      <c r="K38" s="153"/>
      <c r="L38" s="144">
        <v>107</v>
      </c>
      <c r="M38" s="144">
        <v>270</v>
      </c>
      <c r="N38" s="144">
        <v>180</v>
      </c>
      <c r="O38" s="144">
        <v>246</v>
      </c>
      <c r="P38" s="144">
        <v>342</v>
      </c>
      <c r="Q38" s="144">
        <v>402</v>
      </c>
      <c r="R38" s="144">
        <v>420</v>
      </c>
      <c r="S38" s="154"/>
      <c r="T38" s="154"/>
      <c r="U38" s="153"/>
      <c r="V38" s="153"/>
      <c r="W38" s="153"/>
      <c r="X38" s="153"/>
      <c r="Y38" s="153"/>
      <c r="Z38" s="154"/>
      <c r="AA38" s="153"/>
      <c r="AB38" s="154"/>
      <c r="AC38" s="154"/>
      <c r="AD38" s="153"/>
      <c r="AE38" s="153">
        <v>541</v>
      </c>
      <c r="AF38" s="153">
        <v>600</v>
      </c>
      <c r="AG38" s="153">
        <v>504</v>
      </c>
      <c r="AH38" s="153">
        <v>722</v>
      </c>
      <c r="AI38" s="153">
        <v>504</v>
      </c>
      <c r="AJ38" s="154">
        <v>540</v>
      </c>
      <c r="AK38" s="154">
        <v>612</v>
      </c>
      <c r="AL38" s="154">
        <v>703</v>
      </c>
      <c r="AM38" s="154">
        <v>774</v>
      </c>
      <c r="AN38" s="154">
        <v>800</v>
      </c>
      <c r="AO38" s="156">
        <f>+'Cell 10 603'!AI15</f>
        <v>1060</v>
      </c>
      <c r="AP38" s="156">
        <f>+'Cell 10 603'!AJ15</f>
        <v>1050</v>
      </c>
      <c r="AQ38" s="156">
        <f>+'Cell 10 603'!AK15</f>
        <v>1025</v>
      </c>
      <c r="AR38" s="156">
        <f>+'Cell 10 603'!AL15</f>
        <v>1080</v>
      </c>
      <c r="AS38" s="156">
        <f>+'Cell 10 603'!AM15</f>
        <v>1050</v>
      </c>
      <c r="AT38" s="156">
        <f>+'Cell 10 603'!AN15</f>
        <v>840</v>
      </c>
      <c r="AU38" s="156">
        <f>+'Cell 10 603'!AO15</f>
        <v>870</v>
      </c>
      <c r="AV38" s="156">
        <f>+'Cell 10 603'!AP15</f>
        <v>830</v>
      </c>
      <c r="AW38" s="156">
        <f>+'Cell 10 603'!AQ15</f>
        <v>862</v>
      </c>
      <c r="AX38" s="156">
        <f>+'Cell 10 603'!AR15</f>
        <v>930</v>
      </c>
      <c r="AY38" s="156">
        <f>+'Cell 10 603'!AS15</f>
        <v>950</v>
      </c>
      <c r="AZ38" s="156">
        <f>+'Cell 10 603'!AT15</f>
        <v>850</v>
      </c>
      <c r="BA38" s="156">
        <f>+'Cell 10 603'!AU15</f>
        <v>1000</v>
      </c>
      <c r="BB38" s="156">
        <f>+'Cell 10 603'!AV15</f>
        <v>836</v>
      </c>
      <c r="BC38" s="156">
        <f>+'Cell 10 603'!AW15</f>
        <v>740</v>
      </c>
      <c r="BD38" s="156">
        <f>+'Cell 10 603'!AX15</f>
        <v>1050</v>
      </c>
      <c r="BE38" s="156">
        <f>+'Cell 10 603'!AY15</f>
        <v>674</v>
      </c>
      <c r="BF38" s="156"/>
      <c r="BG38" s="144"/>
      <c r="BH38" s="144"/>
      <c r="BI38" s="144"/>
      <c r="BJ38" s="153">
        <f>+'Cell 11 603'!Z11</f>
        <v>870</v>
      </c>
      <c r="BK38" s="153">
        <f>+'Cell 11 603'!AA11</f>
        <v>762</v>
      </c>
      <c r="BL38" s="153">
        <f>+'Cell 11 603'!AB11</f>
        <v>624</v>
      </c>
      <c r="BM38" s="153">
        <f>+'Cell 11 603'!AC11</f>
        <v>816</v>
      </c>
      <c r="BN38" s="153">
        <f>+'Cell 11 603'!AD11</f>
        <v>856</v>
      </c>
      <c r="BO38" s="153">
        <f>+'Cell 11 603'!AE11</f>
        <v>792</v>
      </c>
      <c r="BP38" s="153">
        <f>+'Cell 11 603'!AF11</f>
        <v>822</v>
      </c>
      <c r="BQ38" s="153">
        <f>+'Cell 11 603'!AG11</f>
        <v>744</v>
      </c>
      <c r="BR38" s="153">
        <f>+'Cell 11 603'!AH11</f>
        <v>660</v>
      </c>
      <c r="BS38" s="153">
        <f>+'Cell 11 603'!AI11</f>
        <v>780</v>
      </c>
      <c r="BT38" s="153">
        <f>+'Cell 11 603'!AJ11</f>
        <v>900</v>
      </c>
      <c r="BU38" s="153">
        <f>+'Cell 11 603'!AK11</f>
        <v>870</v>
      </c>
      <c r="BV38" s="153">
        <f>+'Cell 11 603'!AL11</f>
        <v>750</v>
      </c>
      <c r="BW38" s="153">
        <f>+'Cell 11 603'!AM11</f>
        <v>702</v>
      </c>
      <c r="BX38" s="153">
        <f>+'Cell 11 603'!AN11</f>
        <v>1227</v>
      </c>
      <c r="BY38" s="153">
        <f>+'Cell 11 603'!AO11</f>
        <v>1218</v>
      </c>
      <c r="BZ38" s="153"/>
      <c r="CA38" s="154"/>
      <c r="CB38" s="154"/>
      <c r="CC38" s="153"/>
      <c r="CD38" s="153"/>
      <c r="CE38" s="153"/>
      <c r="CF38" s="153"/>
      <c r="CG38" s="153"/>
      <c r="CH38" s="153"/>
      <c r="CI38" s="154"/>
      <c r="CJ38" s="154"/>
      <c r="CK38" s="154"/>
      <c r="CL38" s="154"/>
      <c r="CM38" s="154"/>
      <c r="CN38" s="156"/>
      <c r="CO38" s="156"/>
      <c r="CP38" s="156"/>
      <c r="CQ38" s="156"/>
      <c r="CR38" s="156"/>
      <c r="CS38" s="156"/>
      <c r="CT38" s="156"/>
      <c r="CU38" s="156"/>
      <c r="CV38" s="156"/>
      <c r="CW38" s="156"/>
      <c r="CX38" s="156"/>
      <c r="CY38" s="156"/>
      <c r="CZ38" s="156"/>
      <c r="DA38" s="156"/>
      <c r="DB38" s="156"/>
      <c r="DC38" s="156"/>
      <c r="DD38" s="156"/>
      <c r="DE38" s="156"/>
      <c r="DF38" s="156"/>
      <c r="DG38" s="156"/>
      <c r="DH38" s="156"/>
      <c r="DI38" s="156"/>
      <c r="DJ38" s="156"/>
      <c r="DK38" s="156"/>
      <c r="DL38" s="156"/>
      <c r="DM38" s="156"/>
      <c r="DN38" s="156"/>
      <c r="DO38" s="156"/>
      <c r="DP38" s="156"/>
      <c r="DQ38" s="156"/>
      <c r="DR38" s="156"/>
      <c r="DS38" s="156"/>
      <c r="DT38" s="156"/>
      <c r="DU38" s="156"/>
      <c r="DV38" s="156"/>
      <c r="DW38" s="156"/>
      <c r="DX38" s="156"/>
      <c r="DY38" s="156"/>
      <c r="DZ38" s="156"/>
      <c r="EA38" s="156"/>
      <c r="EB38" s="156"/>
      <c r="EC38" s="156"/>
      <c r="ET38"/>
      <c r="EU38"/>
      <c r="EV38"/>
      <c r="EW38"/>
    </row>
    <row r="39" spans="1:153" ht="23.25" customHeight="1" x14ac:dyDescent="0.25">
      <c r="A39" s="54"/>
      <c r="B39" s="238"/>
      <c r="C39" s="240"/>
      <c r="D39" s="240"/>
      <c r="E39" s="240"/>
      <c r="F39" s="240"/>
      <c r="G39" s="135" t="s">
        <v>6</v>
      </c>
      <c r="H39" s="45">
        <f>H38/9</f>
        <v>8</v>
      </c>
      <c r="I39" s="45">
        <f>I38/9</f>
        <v>14</v>
      </c>
      <c r="J39" s="45">
        <f>J38/9</f>
        <v>16.666666666666668</v>
      </c>
      <c r="K39" s="45">
        <f>K38/9</f>
        <v>0</v>
      </c>
      <c r="L39" s="45">
        <f>+L38/9</f>
        <v>11.888888888888889</v>
      </c>
      <c r="M39" s="45">
        <f>+M38/9</f>
        <v>30</v>
      </c>
      <c r="N39" s="45">
        <f>N38/9</f>
        <v>20</v>
      </c>
      <c r="O39" s="45">
        <f>O38/9</f>
        <v>27.333333333333332</v>
      </c>
      <c r="P39" s="45">
        <f>P38/9</f>
        <v>38</v>
      </c>
      <c r="Q39" s="45">
        <f>Q38/9</f>
        <v>44.666666666666664</v>
      </c>
      <c r="R39" s="45">
        <f>SUM(R38:R38)/8</f>
        <v>52.5</v>
      </c>
      <c r="S39" s="45">
        <f>S38/8</f>
        <v>0</v>
      </c>
      <c r="T39" s="45">
        <f>T38/8</f>
        <v>0</v>
      </c>
      <c r="U39" s="45">
        <f>U38/8</f>
        <v>0</v>
      </c>
      <c r="V39" s="45">
        <f>V38/8</f>
        <v>0</v>
      </c>
      <c r="W39" s="45">
        <f>W38/8</f>
        <v>0</v>
      </c>
      <c r="X39" s="45">
        <f t="shared" ref="X39:AC39" si="53">SUM(X38:X38)/8</f>
        <v>0</v>
      </c>
      <c r="Y39" s="45">
        <f t="shared" si="53"/>
        <v>0</v>
      </c>
      <c r="Z39" s="45">
        <f t="shared" si="53"/>
        <v>0</v>
      </c>
      <c r="AA39" s="45">
        <f t="shared" si="53"/>
        <v>0</v>
      </c>
      <c r="AB39" s="45">
        <f t="shared" si="53"/>
        <v>0</v>
      </c>
      <c r="AC39" s="45">
        <f t="shared" si="53"/>
        <v>0</v>
      </c>
      <c r="AD39" s="45">
        <f>AD38/9</f>
        <v>0</v>
      </c>
      <c r="AE39" s="45">
        <f>AE38/9</f>
        <v>60.111111111111114</v>
      </c>
      <c r="AF39" s="45">
        <f>AF38/9</f>
        <v>66.666666666666671</v>
      </c>
      <c r="AG39" s="45">
        <f>AG38/9</f>
        <v>56</v>
      </c>
      <c r="AH39" s="45">
        <f>AH38/9</f>
        <v>80.222222222222229</v>
      </c>
      <c r="AI39" s="45">
        <f>+AI38/9</f>
        <v>56</v>
      </c>
      <c r="AJ39" s="45">
        <f>+AJ38/9</f>
        <v>60</v>
      </c>
      <c r="AK39" s="45">
        <f>AK38/9</f>
        <v>68</v>
      </c>
      <c r="AL39" s="45">
        <f>AL38/9</f>
        <v>78.111111111111114</v>
      </c>
      <c r="AM39" s="45">
        <f>AM38/9</f>
        <v>86</v>
      </c>
      <c r="AN39" s="45">
        <f>AN38/9</f>
        <v>88.888888888888886</v>
      </c>
      <c r="AO39" s="45">
        <f>+'Cell 10 603'!AI16</f>
        <v>117.77777777777777</v>
      </c>
      <c r="AP39" s="45">
        <f>+'Cell 10 603'!AJ16</f>
        <v>116.66666666666667</v>
      </c>
      <c r="AQ39" s="45">
        <f>+'Cell 10 603'!AK16</f>
        <v>113.88888888888889</v>
      </c>
      <c r="AR39" s="45">
        <f>+'Cell 10 603'!AL16</f>
        <v>120</v>
      </c>
      <c r="AS39" s="45">
        <f>+'Cell 10 603'!AM16</f>
        <v>105</v>
      </c>
      <c r="AT39" s="45">
        <f>+'Cell 10 603'!AN16</f>
        <v>84</v>
      </c>
      <c r="AU39" s="45">
        <f>+'Cell 10 603'!AO16</f>
        <v>96.666666666666671</v>
      </c>
      <c r="AV39" s="45">
        <f>+'Cell 10 603'!AP16</f>
        <v>92.222222222222229</v>
      </c>
      <c r="AW39" s="45">
        <f>+'Cell 10 603'!AQ16</f>
        <v>95.777777777777771</v>
      </c>
      <c r="AX39" s="45">
        <f>+'Cell 10 603'!AR16</f>
        <v>103.33333333333333</v>
      </c>
      <c r="AY39" s="45">
        <f>+'Cell 10 603'!AS16</f>
        <v>105.55555555555556</v>
      </c>
      <c r="AZ39" s="45">
        <f>+'Cell 10 603'!AT16</f>
        <v>94.444444444444443</v>
      </c>
      <c r="BA39" s="45">
        <f>+'Cell 10 603'!AU16</f>
        <v>111.11111111111111</v>
      </c>
      <c r="BB39" s="45">
        <f>+'Cell 10 603'!AV16</f>
        <v>92.888888888888886</v>
      </c>
      <c r="BC39" s="45">
        <f>+'Cell 10 603'!AW16</f>
        <v>82.222222222222229</v>
      </c>
      <c r="BD39" s="45">
        <f>+'Cell 10 603'!AX16</f>
        <v>116.66666666666667</v>
      </c>
      <c r="BE39" s="45">
        <f>+'Cell 10 603'!AY16</f>
        <v>96.285714285714292</v>
      </c>
      <c r="BF39" s="45"/>
      <c r="BG39" s="45"/>
      <c r="BH39" s="45"/>
      <c r="BI39" s="45"/>
      <c r="BJ39" s="45">
        <f>+'Cell 11 603'!Z12</f>
        <v>72.5</v>
      </c>
      <c r="BK39" s="45">
        <f>+'Cell 11 603'!AA12</f>
        <v>63.5</v>
      </c>
      <c r="BL39" s="45">
        <f>+'Cell 11 603'!AB12</f>
        <v>52</v>
      </c>
      <c r="BM39" s="45">
        <f>+'Cell 11 603'!AC12</f>
        <v>68</v>
      </c>
      <c r="BN39" s="45">
        <f>+'Cell 11 603'!AD12</f>
        <v>71.333333333333329</v>
      </c>
      <c r="BO39" s="45">
        <f>+'Cell 11 603'!AE12</f>
        <v>66</v>
      </c>
      <c r="BP39" s="45">
        <f>+'Cell 11 603'!AF12</f>
        <v>68.5</v>
      </c>
      <c r="BQ39" s="45">
        <f>+'Cell 11 603'!AG12</f>
        <v>74.400000000000006</v>
      </c>
      <c r="BR39" s="45">
        <f>+'Cell 11 603'!AH12</f>
        <v>55</v>
      </c>
      <c r="BS39" s="45">
        <f>+'Cell 11 603'!AI12</f>
        <v>65</v>
      </c>
      <c r="BT39" s="45">
        <f>+'Cell 11 603'!AJ12</f>
        <v>75</v>
      </c>
      <c r="BU39" s="45">
        <f>+'Cell 11 603'!AK12</f>
        <v>72.5</v>
      </c>
      <c r="BV39" s="45">
        <f>+'Cell 11 603'!AL12</f>
        <v>62.5</v>
      </c>
      <c r="BW39" s="45">
        <f>+'Cell 11 603'!AM12</f>
        <v>58.5</v>
      </c>
      <c r="BX39" s="45">
        <f>+'Cell 11 603'!AN12</f>
        <v>102.25</v>
      </c>
      <c r="BY39" s="45">
        <f>+'Cell 11 603'!AO12</f>
        <v>101.5</v>
      </c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</row>
    <row r="40" spans="1:153" s="12" customFormat="1" ht="23.25" customHeight="1" x14ac:dyDescent="0.25">
      <c r="A40" s="55"/>
      <c r="B40" s="239" t="s">
        <v>82</v>
      </c>
      <c r="C40" s="239" t="s">
        <v>85</v>
      </c>
      <c r="D40" s="239">
        <v>35</v>
      </c>
      <c r="E40" s="239">
        <v>30</v>
      </c>
      <c r="F40" s="239">
        <f t="shared" ref="F40" si="54">+E40-D40</f>
        <v>-5</v>
      </c>
      <c r="G40" s="135" t="str">
        <f>G34</f>
        <v>Output/Day</v>
      </c>
      <c r="H40" s="144">
        <v>72</v>
      </c>
      <c r="I40" s="144">
        <v>126</v>
      </c>
      <c r="J40" s="144">
        <v>150</v>
      </c>
      <c r="K40" s="153"/>
      <c r="L40" s="144">
        <v>107</v>
      </c>
      <c r="M40" s="144">
        <v>270</v>
      </c>
      <c r="N40" s="144">
        <v>180</v>
      </c>
      <c r="O40" s="144">
        <v>246</v>
      </c>
      <c r="P40" s="144">
        <v>342</v>
      </c>
      <c r="Q40" s="144">
        <v>402</v>
      </c>
      <c r="R40" s="144">
        <v>420</v>
      </c>
      <c r="S40" s="154"/>
      <c r="T40" s="154"/>
      <c r="U40" s="153"/>
      <c r="V40" s="153"/>
      <c r="W40" s="153"/>
      <c r="X40" s="153"/>
      <c r="Y40" s="153"/>
      <c r="Z40" s="154"/>
      <c r="AA40" s="153"/>
      <c r="AB40" s="154"/>
      <c r="AC40" s="154"/>
      <c r="AD40" s="153"/>
      <c r="AE40" s="153">
        <v>541</v>
      </c>
      <c r="AF40" s="153">
        <v>600</v>
      </c>
      <c r="AG40" s="153">
        <v>504</v>
      </c>
      <c r="AH40" s="153">
        <v>722</v>
      </c>
      <c r="AI40" s="153">
        <v>504</v>
      </c>
      <c r="AJ40" s="154">
        <v>540</v>
      </c>
      <c r="AK40" s="154">
        <v>612</v>
      </c>
      <c r="AL40" s="154">
        <v>703</v>
      </c>
      <c r="AM40" s="154">
        <v>774</v>
      </c>
      <c r="AN40" s="154">
        <v>800</v>
      </c>
      <c r="AO40" s="156">
        <f>+'Cell 10 603'!AI34</f>
        <v>0</v>
      </c>
      <c r="AP40" s="156">
        <f>+'Cell 10 603'!AJ34</f>
        <v>0</v>
      </c>
      <c r="AQ40" s="156">
        <f>+'Cell 10 603'!AK34</f>
        <v>0</v>
      </c>
      <c r="AR40" s="156">
        <f>+'Cell 10 603'!AL34</f>
        <v>0</v>
      </c>
      <c r="AS40" s="156">
        <f>+'Cell 10 603'!AM34</f>
        <v>0</v>
      </c>
      <c r="AT40" s="156">
        <f>+'Cell 10 603'!AN34</f>
        <v>0</v>
      </c>
      <c r="AU40" s="156">
        <f>+'Cell 10 603'!AO34</f>
        <v>0</v>
      </c>
      <c r="AV40" s="156">
        <f>+'Cell 10 603'!AP34</f>
        <v>0</v>
      </c>
      <c r="AW40" s="156">
        <f>+'Cell 10 603'!AQ34</f>
        <v>0</v>
      </c>
      <c r="AX40" s="156">
        <f>+'Cell 10 603'!AR34</f>
        <v>0</v>
      </c>
      <c r="AY40" s="156">
        <f>+'Cell 10 603'!AS34</f>
        <v>0</v>
      </c>
      <c r="AZ40" s="156">
        <f>+'Cell 10 603'!AT34</f>
        <v>0</v>
      </c>
      <c r="BA40" s="156">
        <f>+'Cell 10 603'!AU34</f>
        <v>0</v>
      </c>
      <c r="BB40" s="156">
        <f>+'Cell 10 603'!AV34</f>
        <v>0</v>
      </c>
      <c r="BC40" s="156">
        <f>+'Cell 10 603'!AW34</f>
        <v>0</v>
      </c>
      <c r="BD40" s="156">
        <f>+'Cell 10 603'!AX34</f>
        <v>0</v>
      </c>
      <c r="BE40" s="156">
        <f>+'Cell 10 603'!AY34</f>
        <v>0</v>
      </c>
      <c r="BF40" s="156">
        <f>+'Cell 10 603'!AZ34</f>
        <v>0</v>
      </c>
      <c r="BG40" s="144">
        <f>+'Cell 10 603'!BA34</f>
        <v>0</v>
      </c>
      <c r="BH40" s="144">
        <f>+'Cell 10 603'!BB34</f>
        <v>0</v>
      </c>
      <c r="BI40" s="144">
        <f>+'Cell 10 603'!BC34</f>
        <v>0</v>
      </c>
      <c r="BJ40" s="144"/>
      <c r="BK40" s="144"/>
      <c r="BL40" s="144">
        <f>+'Cell D6'!R11</f>
        <v>102</v>
      </c>
      <c r="BM40" s="144">
        <f>+'Cell D6'!S11</f>
        <v>0</v>
      </c>
      <c r="BN40" s="144">
        <f>+'Cell D6'!T11</f>
        <v>192</v>
      </c>
      <c r="BO40" s="144">
        <f>+'Cell D6'!U11</f>
        <v>246</v>
      </c>
      <c r="BP40" s="144">
        <f>+'Cell D6'!V11</f>
        <v>162</v>
      </c>
      <c r="BQ40" s="144">
        <f>+'Cell D6'!W11</f>
        <v>102</v>
      </c>
      <c r="BR40" s="144">
        <f>+'Cell D6'!X11</f>
        <v>232</v>
      </c>
      <c r="BS40" s="144">
        <f>+'Cell D6'!Y11</f>
        <v>150</v>
      </c>
      <c r="BT40" s="144">
        <f>+'Cell D6'!Z11</f>
        <v>312</v>
      </c>
      <c r="BU40" s="144">
        <f>+'Cell D6'!AA11</f>
        <v>216</v>
      </c>
      <c r="BV40" s="144">
        <f>+'Cell D6'!AB11</f>
        <v>366</v>
      </c>
      <c r="BW40" s="144">
        <f>+'Cell D6'!AC11</f>
        <v>222</v>
      </c>
      <c r="BX40" s="144">
        <f>+'Cell D6'!AD11</f>
        <v>166</v>
      </c>
      <c r="BY40" s="144">
        <f>+'Cell D6'!AE11</f>
        <v>217</v>
      </c>
      <c r="BZ40" s="153"/>
      <c r="CA40" s="154"/>
      <c r="CB40" s="154"/>
      <c r="CC40" s="153"/>
      <c r="CD40" s="153"/>
      <c r="CE40" s="153"/>
      <c r="CF40" s="153"/>
      <c r="CG40" s="153"/>
      <c r="CH40" s="153"/>
      <c r="CI40" s="154"/>
      <c r="CJ40" s="154"/>
      <c r="CK40" s="154"/>
      <c r="CL40" s="154"/>
      <c r="CM40" s="154"/>
      <c r="CN40" s="156"/>
      <c r="CO40" s="156"/>
      <c r="CP40" s="156"/>
      <c r="CQ40" s="156"/>
      <c r="CR40" s="156"/>
      <c r="CS40" s="156"/>
      <c r="CT40" s="156"/>
      <c r="CU40" s="156"/>
      <c r="CV40" s="156"/>
      <c r="CW40" s="156"/>
      <c r="CX40" s="156"/>
      <c r="CY40" s="156"/>
      <c r="CZ40" s="156"/>
      <c r="DA40" s="156"/>
      <c r="DB40" s="156"/>
      <c r="DC40" s="156"/>
      <c r="DD40" s="156"/>
      <c r="DE40" s="156"/>
      <c r="DF40" s="156"/>
      <c r="DG40" s="156"/>
      <c r="DH40" s="156"/>
      <c r="DI40" s="156"/>
      <c r="DJ40" s="156"/>
      <c r="DK40" s="156"/>
      <c r="DL40" s="156"/>
      <c r="DM40" s="156"/>
      <c r="DN40" s="156"/>
      <c r="DO40" s="156"/>
      <c r="DP40" s="156"/>
      <c r="DQ40" s="156"/>
      <c r="DR40" s="156"/>
      <c r="DS40" s="156"/>
      <c r="DT40" s="156"/>
      <c r="DU40" s="156"/>
      <c r="DV40" s="156"/>
      <c r="DW40" s="156"/>
      <c r="DX40" s="156"/>
      <c r="DY40" s="156"/>
      <c r="DZ40" s="156"/>
      <c r="EA40" s="156"/>
      <c r="EB40" s="156"/>
      <c r="EC40" s="156"/>
      <c r="ET40"/>
      <c r="EU40"/>
      <c r="EV40"/>
      <c r="EW40"/>
    </row>
    <row r="41" spans="1:153" ht="23.25" customHeight="1" x14ac:dyDescent="0.25">
      <c r="A41" s="54"/>
      <c r="B41" s="240"/>
      <c r="C41" s="240"/>
      <c r="D41" s="240"/>
      <c r="E41" s="240"/>
      <c r="F41" s="240"/>
      <c r="G41" s="135" t="s">
        <v>6</v>
      </c>
      <c r="H41" s="45">
        <f>H40/9</f>
        <v>8</v>
      </c>
      <c r="I41" s="45">
        <f>I40/9</f>
        <v>14</v>
      </c>
      <c r="J41" s="45">
        <f>J40/9</f>
        <v>16.666666666666668</v>
      </c>
      <c r="K41" s="45">
        <f t="shared" ref="K41" si="55">K40/9</f>
        <v>0</v>
      </c>
      <c r="L41" s="45">
        <f>+L40/9</f>
        <v>11.888888888888889</v>
      </c>
      <c r="M41" s="45">
        <f>+M40/9</f>
        <v>30</v>
      </c>
      <c r="N41" s="45">
        <f t="shared" ref="N41:Q41" si="56">N40/9</f>
        <v>20</v>
      </c>
      <c r="O41" s="45">
        <f t="shared" si="56"/>
        <v>27.333333333333332</v>
      </c>
      <c r="P41" s="45">
        <f t="shared" si="56"/>
        <v>38</v>
      </c>
      <c r="Q41" s="45">
        <f t="shared" si="56"/>
        <v>44.666666666666664</v>
      </c>
      <c r="R41" s="45">
        <f>SUM(R40:R40)/8</f>
        <v>52.5</v>
      </c>
      <c r="S41" s="45">
        <f>S40/8</f>
        <v>0</v>
      </c>
      <c r="T41" s="45">
        <f>T40/8</f>
        <v>0</v>
      </c>
      <c r="U41" s="45">
        <f>U40/8</f>
        <v>0</v>
      </c>
      <c r="V41" s="45">
        <f>V40/8</f>
        <v>0</v>
      </c>
      <c r="W41" s="45">
        <f>W40/8</f>
        <v>0</v>
      </c>
      <c r="X41" s="45">
        <f t="shared" ref="X41:AC41" si="57">SUM(X40:X40)/8</f>
        <v>0</v>
      </c>
      <c r="Y41" s="45">
        <f t="shared" si="57"/>
        <v>0</v>
      </c>
      <c r="Z41" s="45">
        <f t="shared" si="57"/>
        <v>0</v>
      </c>
      <c r="AA41" s="45">
        <f t="shared" si="57"/>
        <v>0</v>
      </c>
      <c r="AB41" s="45">
        <f t="shared" si="57"/>
        <v>0</v>
      </c>
      <c r="AC41" s="45">
        <f t="shared" si="57"/>
        <v>0</v>
      </c>
      <c r="AD41" s="45">
        <f>AD40/9</f>
        <v>0</v>
      </c>
      <c r="AE41" s="45">
        <f>AE40/9</f>
        <v>60.111111111111114</v>
      </c>
      <c r="AF41" s="45">
        <f>AF40/9</f>
        <v>66.666666666666671</v>
      </c>
      <c r="AG41" s="45">
        <f>AG40/9</f>
        <v>56</v>
      </c>
      <c r="AH41" s="45">
        <f>AH40/9</f>
        <v>80.222222222222229</v>
      </c>
      <c r="AI41" s="45">
        <f>+AI40/9</f>
        <v>56</v>
      </c>
      <c r="AJ41" s="45">
        <f>+AJ40/9</f>
        <v>60</v>
      </c>
      <c r="AK41" s="45">
        <f>AK40/9</f>
        <v>68</v>
      </c>
      <c r="AL41" s="45">
        <f>AL40/9</f>
        <v>78.111111111111114</v>
      </c>
      <c r="AM41" s="45">
        <f>AM40/9</f>
        <v>86</v>
      </c>
      <c r="AN41" s="45">
        <f>AN40/9</f>
        <v>88.888888888888886</v>
      </c>
      <c r="AO41" s="45">
        <f>+'Cell 10 603'!AI35</f>
        <v>0</v>
      </c>
      <c r="AP41" s="45">
        <f>+'Cell 10 603'!AJ35</f>
        <v>0</v>
      </c>
      <c r="AQ41" s="45">
        <f>+'Cell 10 603'!AK35</f>
        <v>0</v>
      </c>
      <c r="AR41" s="45">
        <f>+'Cell 10 603'!AL35</f>
        <v>0</v>
      </c>
      <c r="AS41" s="45">
        <f>+'Cell 10 603'!AM35</f>
        <v>0</v>
      </c>
      <c r="AT41" s="45">
        <f>+'Cell 10 603'!AN35</f>
        <v>0</v>
      </c>
      <c r="AU41" s="45">
        <f>+'Cell 10 603'!AO35</f>
        <v>0</v>
      </c>
      <c r="AV41" s="45">
        <f>+'Cell 10 603'!AP35</f>
        <v>0</v>
      </c>
      <c r="AW41" s="45">
        <f>+'Cell 10 603'!AQ35</f>
        <v>0</v>
      </c>
      <c r="AX41" s="45">
        <f>+'Cell 10 603'!AR35</f>
        <v>0</v>
      </c>
      <c r="AY41" s="45">
        <f>+'Cell 10 603'!AS35</f>
        <v>0</v>
      </c>
      <c r="AZ41" s="45">
        <f>+'Cell 10 603'!AT35</f>
        <v>0</v>
      </c>
      <c r="BA41" s="45">
        <f>+'Cell 10 603'!AU35</f>
        <v>0</v>
      </c>
      <c r="BB41" s="45">
        <f>+'Cell 10 603'!AV35</f>
        <v>0</v>
      </c>
      <c r="BC41" s="45">
        <f>+'Cell 10 603'!AW35</f>
        <v>0</v>
      </c>
      <c r="BD41" s="45">
        <f>+'Cell 10 603'!AX35</f>
        <v>0</v>
      </c>
      <c r="BE41" s="45">
        <f>+'Cell 10 603'!AY35</f>
        <v>0</v>
      </c>
      <c r="BF41" s="45">
        <f>+'Cell 10 603'!AZ35</f>
        <v>0</v>
      </c>
      <c r="BG41" s="45">
        <f>+'Cell 10 603'!BA35</f>
        <v>0</v>
      </c>
      <c r="BH41" s="45">
        <f>+'Cell 10 603'!BB35</f>
        <v>0</v>
      </c>
      <c r="BI41" s="45">
        <f>+'Cell 10 603'!BC35</f>
        <v>0</v>
      </c>
      <c r="BJ41" s="45"/>
      <c r="BK41" s="45"/>
      <c r="BL41" s="45">
        <f>+'Cell D6'!R12</f>
        <v>11.333333333333334</v>
      </c>
      <c r="BM41" s="45">
        <f>+'Cell D6'!S12</f>
        <v>0</v>
      </c>
      <c r="BN41" s="45">
        <f>+'Cell D6'!T12</f>
        <v>21.333333333333332</v>
      </c>
      <c r="BO41" s="45">
        <f>+'Cell D6'!U12</f>
        <v>27.333333333333332</v>
      </c>
      <c r="BP41" s="45">
        <f>+'Cell D6'!V12</f>
        <v>18</v>
      </c>
      <c r="BQ41" s="45">
        <f>+'Cell D6'!W12</f>
        <v>11.333333333333334</v>
      </c>
      <c r="BR41" s="45">
        <f>+'Cell D6'!X12</f>
        <v>25.777777777777779</v>
      </c>
      <c r="BS41" s="45">
        <f>+'Cell D6'!Y12</f>
        <v>16.666666666666668</v>
      </c>
      <c r="BT41" s="45">
        <f>+'Cell D6'!Z12</f>
        <v>34.666666666666664</v>
      </c>
      <c r="BU41" s="45">
        <f>+'Cell D6'!AA12</f>
        <v>24</v>
      </c>
      <c r="BV41" s="45">
        <f>+'Cell D6'!AB12</f>
        <v>30.5</v>
      </c>
      <c r="BW41" s="45">
        <f>+'Cell D6'!AC12</f>
        <v>18.5</v>
      </c>
      <c r="BX41" s="45">
        <f>+'Cell D6'!AD12</f>
        <v>13.833333333333334</v>
      </c>
      <c r="BY41" s="45">
        <f>+'Cell D6'!AE12</f>
        <v>18.083333333333332</v>
      </c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  <c r="EB41" s="45"/>
      <c r="EC41" s="45"/>
    </row>
    <row r="42" spans="1:153" x14ac:dyDescent="0.25">
      <c r="A42" s="54"/>
      <c r="B42" s="242" t="s">
        <v>7</v>
      </c>
      <c r="C42" s="243"/>
      <c r="D42" s="243"/>
      <c r="E42" s="243"/>
      <c r="F42" s="243"/>
      <c r="G42" s="244"/>
      <c r="H42" s="157">
        <v>12</v>
      </c>
      <c r="I42" s="157">
        <v>12</v>
      </c>
      <c r="J42" s="157">
        <v>12</v>
      </c>
      <c r="K42" s="157">
        <v>12</v>
      </c>
      <c r="L42" s="157">
        <v>12</v>
      </c>
      <c r="M42" s="157">
        <v>24</v>
      </c>
      <c r="N42" s="157">
        <v>24</v>
      </c>
      <c r="O42" s="157">
        <v>24</v>
      </c>
      <c r="P42" s="157">
        <v>24</v>
      </c>
      <c r="Q42" s="157">
        <v>24</v>
      </c>
      <c r="R42" s="157">
        <v>48</v>
      </c>
      <c r="S42" s="157">
        <v>48</v>
      </c>
      <c r="T42" s="157">
        <v>48</v>
      </c>
      <c r="U42" s="157">
        <v>48</v>
      </c>
      <c r="V42" s="157">
        <v>48</v>
      </c>
      <c r="W42" s="157">
        <v>60</v>
      </c>
      <c r="X42" s="157">
        <v>60</v>
      </c>
      <c r="Y42" s="157">
        <v>60</v>
      </c>
      <c r="Z42" s="157">
        <v>60</v>
      </c>
      <c r="AA42" s="157">
        <v>60</v>
      </c>
      <c r="AB42" s="157">
        <v>72</v>
      </c>
      <c r="AC42" s="157">
        <v>72</v>
      </c>
      <c r="AD42" s="157">
        <v>72</v>
      </c>
      <c r="AE42" s="157">
        <v>72</v>
      </c>
      <c r="AF42" s="157">
        <v>72</v>
      </c>
      <c r="AG42" s="157">
        <v>96</v>
      </c>
      <c r="AH42" s="157">
        <v>96</v>
      </c>
      <c r="AI42" s="157">
        <v>96</v>
      </c>
      <c r="AJ42" s="157">
        <v>96</v>
      </c>
      <c r="AK42" s="157">
        <v>96</v>
      </c>
      <c r="AL42" s="157">
        <v>108</v>
      </c>
      <c r="AM42" s="157">
        <v>108</v>
      </c>
      <c r="AN42" s="157">
        <v>108</v>
      </c>
      <c r="AO42" s="157">
        <v>120</v>
      </c>
      <c r="AP42" s="157">
        <v>120</v>
      </c>
      <c r="AQ42" s="157">
        <v>120</v>
      </c>
      <c r="AR42" s="157">
        <v>120</v>
      </c>
      <c r="AS42" s="157">
        <v>120</v>
      </c>
      <c r="AT42" s="157">
        <v>120</v>
      </c>
      <c r="AU42" s="157">
        <v>120</v>
      </c>
      <c r="AV42" s="157">
        <v>120</v>
      </c>
      <c r="AW42" s="157">
        <v>120</v>
      </c>
      <c r="AX42" s="157">
        <v>120</v>
      </c>
      <c r="AY42" s="157">
        <v>120</v>
      </c>
      <c r="AZ42" s="157">
        <v>120</v>
      </c>
      <c r="BA42" s="157">
        <v>120</v>
      </c>
      <c r="BB42" s="157">
        <v>120</v>
      </c>
      <c r="BC42" s="157">
        <v>120</v>
      </c>
      <c r="BD42" s="157">
        <v>120</v>
      </c>
      <c r="BE42" s="157">
        <v>120</v>
      </c>
      <c r="BF42" s="157">
        <v>120</v>
      </c>
      <c r="BG42" s="157">
        <v>120</v>
      </c>
      <c r="BH42" s="157">
        <v>120</v>
      </c>
      <c r="BI42" s="157">
        <v>120</v>
      </c>
      <c r="BJ42" s="157">
        <v>120</v>
      </c>
      <c r="BK42" s="157">
        <v>120</v>
      </c>
      <c r="BL42" s="157">
        <v>120</v>
      </c>
      <c r="BM42" s="157">
        <v>120</v>
      </c>
      <c r="BN42" s="157">
        <v>120</v>
      </c>
      <c r="BO42" s="157">
        <v>120</v>
      </c>
      <c r="BP42" s="157">
        <v>120</v>
      </c>
      <c r="BQ42" s="157">
        <v>120</v>
      </c>
      <c r="BR42" s="157">
        <v>120</v>
      </c>
      <c r="BS42" s="157">
        <v>120</v>
      </c>
      <c r="BT42" s="157">
        <v>120</v>
      </c>
      <c r="BU42" s="157">
        <v>120</v>
      </c>
      <c r="BV42" s="157">
        <v>120</v>
      </c>
      <c r="BW42" s="157">
        <v>120</v>
      </c>
      <c r="BX42" s="157">
        <v>120</v>
      </c>
      <c r="BY42" s="157">
        <v>120</v>
      </c>
      <c r="BZ42" s="157">
        <v>120</v>
      </c>
      <c r="CA42" s="157">
        <v>120</v>
      </c>
      <c r="CB42" s="157">
        <v>120</v>
      </c>
      <c r="CC42" s="157">
        <v>120</v>
      </c>
      <c r="CD42" s="157">
        <v>120</v>
      </c>
      <c r="CE42" s="157">
        <v>120</v>
      </c>
      <c r="CF42" s="157">
        <v>120</v>
      </c>
      <c r="CG42" s="157">
        <v>120</v>
      </c>
      <c r="CH42" s="157">
        <v>120</v>
      </c>
      <c r="CI42" s="157">
        <v>120</v>
      </c>
      <c r="CJ42" s="157">
        <v>120</v>
      </c>
      <c r="CK42" s="157">
        <v>120</v>
      </c>
      <c r="CL42" s="157">
        <v>108</v>
      </c>
      <c r="CM42" s="157">
        <v>108</v>
      </c>
      <c r="CN42" s="157">
        <v>120</v>
      </c>
      <c r="CO42" s="157">
        <v>120</v>
      </c>
      <c r="CP42" s="157">
        <v>120</v>
      </c>
      <c r="CQ42" s="157">
        <v>120</v>
      </c>
      <c r="CR42" s="157">
        <v>120</v>
      </c>
      <c r="CS42" s="157">
        <v>120</v>
      </c>
      <c r="CT42" s="157">
        <v>120</v>
      </c>
      <c r="CU42" s="157">
        <v>120</v>
      </c>
      <c r="CV42" s="157">
        <v>120</v>
      </c>
      <c r="CW42" s="157">
        <v>120</v>
      </c>
      <c r="CX42" s="157">
        <v>120</v>
      </c>
      <c r="CY42" s="157">
        <v>120</v>
      </c>
      <c r="CZ42" s="157">
        <v>120</v>
      </c>
      <c r="DA42" s="157">
        <v>120</v>
      </c>
      <c r="DB42" s="157">
        <v>120</v>
      </c>
      <c r="DC42" s="157">
        <v>120</v>
      </c>
      <c r="DD42" s="157">
        <v>120</v>
      </c>
      <c r="DE42" s="157">
        <v>120</v>
      </c>
      <c r="DF42" s="157">
        <v>120</v>
      </c>
      <c r="DG42" s="157">
        <v>120</v>
      </c>
      <c r="DH42" s="157">
        <v>120</v>
      </c>
      <c r="DI42" s="157">
        <v>120</v>
      </c>
      <c r="DJ42" s="157">
        <v>120</v>
      </c>
      <c r="DK42" s="157">
        <v>120</v>
      </c>
      <c r="DL42" s="157">
        <v>120</v>
      </c>
      <c r="DM42" s="157">
        <v>120</v>
      </c>
      <c r="DN42" s="157">
        <v>120</v>
      </c>
      <c r="DO42" s="157">
        <v>120</v>
      </c>
      <c r="DP42" s="157">
        <v>120</v>
      </c>
      <c r="DQ42" s="157">
        <v>120</v>
      </c>
      <c r="DR42" s="157">
        <v>120</v>
      </c>
      <c r="DS42" s="157">
        <v>120</v>
      </c>
      <c r="DT42" s="157">
        <v>120</v>
      </c>
      <c r="DU42" s="157">
        <v>120</v>
      </c>
      <c r="DV42" s="157">
        <v>120</v>
      </c>
      <c r="DW42" s="157">
        <v>120</v>
      </c>
      <c r="DX42" s="157">
        <v>120</v>
      </c>
      <c r="DY42" s="157">
        <v>120</v>
      </c>
      <c r="DZ42" s="157">
        <v>120</v>
      </c>
      <c r="EA42" s="157">
        <v>120</v>
      </c>
      <c r="EB42" s="157">
        <v>120</v>
      </c>
      <c r="EC42" s="157">
        <v>120</v>
      </c>
    </row>
    <row r="43" spans="1:153" ht="15.75" customHeight="1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L43" s="71"/>
    </row>
    <row r="44" spans="1:153" ht="11.25" customHeight="1" x14ac:dyDescent="0.25"/>
    <row r="45" spans="1:153" ht="21" customHeight="1" x14ac:dyDescent="0.25">
      <c r="B45" s="248" t="s">
        <v>28</v>
      </c>
      <c r="C45" s="249"/>
      <c r="D45" s="249"/>
      <c r="E45" s="249"/>
      <c r="F45" s="249"/>
      <c r="G45" s="249"/>
      <c r="H45" s="249"/>
      <c r="I45" s="249"/>
      <c r="J45" s="249"/>
      <c r="K45" s="249"/>
      <c r="L45" s="249"/>
      <c r="M45" s="249"/>
      <c r="N45" s="249"/>
      <c r="O45" s="249"/>
      <c r="P45" s="249"/>
      <c r="Q45" s="249"/>
      <c r="R45" s="249"/>
      <c r="S45" s="249"/>
      <c r="T45" s="249"/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49"/>
      <c r="BE45" s="249"/>
      <c r="BF45" s="249"/>
      <c r="BG45" s="249"/>
      <c r="BH45" s="249"/>
      <c r="BI45" s="249"/>
      <c r="BJ45" s="249"/>
      <c r="BK45" s="249"/>
      <c r="BL45" s="249"/>
      <c r="BM45" s="249"/>
      <c r="BN45" s="249"/>
      <c r="BO45" s="249"/>
      <c r="BP45" s="249"/>
      <c r="BQ45" s="249"/>
      <c r="BR45" s="249"/>
      <c r="BS45" s="249"/>
      <c r="BT45" s="249"/>
      <c r="BU45" s="249"/>
      <c r="BV45" s="249"/>
      <c r="BW45" s="249"/>
      <c r="BX45" s="249"/>
      <c r="BY45" s="249"/>
      <c r="BZ45" s="249"/>
      <c r="CA45" s="249"/>
      <c r="CB45" s="249"/>
      <c r="CC45" s="249"/>
      <c r="CD45" s="249"/>
      <c r="CE45" s="249"/>
      <c r="CF45" s="249"/>
      <c r="CG45" s="249"/>
      <c r="CH45" s="249"/>
      <c r="CI45" s="249"/>
      <c r="CJ45" s="249"/>
      <c r="CK45" s="249"/>
      <c r="CL45" s="249"/>
      <c r="CM45" s="249"/>
      <c r="CN45" s="249"/>
      <c r="CO45" s="249"/>
      <c r="CP45" s="249"/>
      <c r="CQ45" s="249"/>
      <c r="CR45" s="249"/>
      <c r="CS45" s="249"/>
      <c r="CT45" s="249"/>
      <c r="CU45" s="249"/>
      <c r="CV45" s="249"/>
      <c r="CW45" s="249"/>
      <c r="CX45" s="249"/>
      <c r="CY45" s="249"/>
      <c r="CZ45" s="249"/>
      <c r="DA45" s="249"/>
      <c r="DB45" s="249"/>
      <c r="DC45" s="249"/>
      <c r="DD45" s="249"/>
      <c r="DE45" s="249"/>
      <c r="DF45" s="249"/>
      <c r="DG45" s="249"/>
      <c r="DH45" s="249"/>
      <c r="DI45" s="249"/>
      <c r="DJ45" s="249"/>
      <c r="DK45" s="249"/>
      <c r="DL45" s="249"/>
      <c r="DM45" s="249"/>
      <c r="DN45" s="249"/>
      <c r="DO45" s="249"/>
      <c r="DP45" s="249"/>
      <c r="DQ45" s="249"/>
      <c r="DR45" s="249"/>
      <c r="DS45" s="249"/>
      <c r="DT45" s="249"/>
      <c r="DU45" s="249"/>
      <c r="DV45" s="249"/>
      <c r="DW45" s="249"/>
      <c r="DX45" s="249"/>
      <c r="DY45" s="249"/>
      <c r="DZ45" s="249"/>
      <c r="EA45" s="249"/>
      <c r="EB45" s="249"/>
      <c r="EC45" s="250"/>
      <c r="ED45" s="110"/>
    </row>
    <row r="46" spans="1:153" s="2" customFormat="1" ht="18" customHeight="1" x14ac:dyDescent="0.25">
      <c r="B46" s="251"/>
      <c r="C46" s="252"/>
      <c r="D46" s="252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  <c r="AA46" s="252"/>
      <c r="AB46" s="252"/>
      <c r="AC46" s="252"/>
      <c r="AD46" s="252"/>
      <c r="AE46" s="252"/>
      <c r="AF46" s="252"/>
      <c r="AG46" s="252"/>
      <c r="AH46" s="252"/>
      <c r="AI46" s="252"/>
      <c r="AJ46" s="252"/>
      <c r="AK46" s="252"/>
      <c r="AL46" s="252"/>
      <c r="AM46" s="252"/>
      <c r="AN46" s="252"/>
      <c r="AO46" s="252"/>
      <c r="AP46" s="252"/>
      <c r="AQ46" s="252"/>
      <c r="AR46" s="252"/>
      <c r="AS46" s="252"/>
      <c r="AT46" s="252"/>
      <c r="AU46" s="252"/>
      <c r="AV46" s="252"/>
      <c r="AW46" s="252"/>
      <c r="AX46" s="252"/>
      <c r="AY46" s="252"/>
      <c r="AZ46" s="252"/>
      <c r="BA46" s="252"/>
      <c r="BB46" s="252"/>
      <c r="BC46" s="252"/>
      <c r="BD46" s="252"/>
      <c r="BE46" s="252"/>
      <c r="BF46" s="252"/>
      <c r="BG46" s="252"/>
      <c r="BH46" s="252"/>
      <c r="BI46" s="252"/>
      <c r="BJ46" s="252"/>
      <c r="BK46" s="252"/>
      <c r="BL46" s="252"/>
      <c r="BM46" s="252"/>
      <c r="BN46" s="252"/>
      <c r="BO46" s="252"/>
      <c r="BP46" s="252"/>
      <c r="BQ46" s="252"/>
      <c r="BR46" s="252"/>
      <c r="BS46" s="252"/>
      <c r="BT46" s="252"/>
      <c r="BU46" s="252"/>
      <c r="BV46" s="252"/>
      <c r="BW46" s="252"/>
      <c r="BX46" s="252"/>
      <c r="BY46" s="252"/>
      <c r="BZ46" s="252"/>
      <c r="CA46" s="252"/>
      <c r="CB46" s="252"/>
      <c r="CC46" s="252"/>
      <c r="CD46" s="252"/>
      <c r="CE46" s="252"/>
      <c r="CF46" s="252"/>
      <c r="CG46" s="252"/>
      <c r="CH46" s="252"/>
      <c r="CI46" s="252"/>
      <c r="CJ46" s="252"/>
      <c r="CK46" s="252"/>
      <c r="CL46" s="252"/>
      <c r="CM46" s="252"/>
      <c r="CN46" s="252"/>
      <c r="CO46" s="252"/>
      <c r="CP46" s="252"/>
      <c r="CQ46" s="252"/>
      <c r="CR46" s="252"/>
      <c r="CS46" s="252"/>
      <c r="CT46" s="252"/>
      <c r="CU46" s="252"/>
      <c r="CV46" s="252"/>
      <c r="CW46" s="252"/>
      <c r="CX46" s="252"/>
      <c r="CY46" s="252"/>
      <c r="CZ46" s="252"/>
      <c r="DA46" s="252"/>
      <c r="DB46" s="252"/>
      <c r="DC46" s="252"/>
      <c r="DD46" s="252"/>
      <c r="DE46" s="252"/>
      <c r="DF46" s="252"/>
      <c r="DG46" s="252"/>
      <c r="DH46" s="252"/>
      <c r="DI46" s="252"/>
      <c r="DJ46" s="252"/>
      <c r="DK46" s="252"/>
      <c r="DL46" s="252"/>
      <c r="DM46" s="252"/>
      <c r="DN46" s="252"/>
      <c r="DO46" s="252"/>
      <c r="DP46" s="252"/>
      <c r="DQ46" s="252"/>
      <c r="DR46" s="252"/>
      <c r="DS46" s="252"/>
      <c r="DT46" s="252"/>
      <c r="DU46" s="252"/>
      <c r="DV46" s="252"/>
      <c r="DW46" s="252"/>
      <c r="DX46" s="252"/>
      <c r="DY46" s="252"/>
      <c r="DZ46" s="252"/>
      <c r="EA46" s="252"/>
      <c r="EB46" s="252"/>
      <c r="EC46" s="253"/>
      <c r="ED46" s="97"/>
      <c r="ET46"/>
      <c r="EU46"/>
      <c r="EV46"/>
      <c r="EW46"/>
    </row>
    <row r="47" spans="1:153" ht="3" customHeight="1" x14ac:dyDescent="0.25">
      <c r="B47" s="254"/>
      <c r="C47" s="255"/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5"/>
      <c r="X47" s="255"/>
      <c r="Y47" s="255"/>
      <c r="Z47" s="255"/>
      <c r="AA47" s="255"/>
      <c r="AB47" s="255"/>
      <c r="AC47" s="255"/>
      <c r="AD47" s="255"/>
      <c r="AE47" s="255"/>
      <c r="AF47" s="255"/>
      <c r="AG47" s="255"/>
      <c r="AH47" s="255"/>
      <c r="AI47" s="255"/>
      <c r="AJ47" s="255"/>
      <c r="AK47" s="255"/>
      <c r="AL47" s="255"/>
      <c r="AM47" s="255"/>
      <c r="AN47" s="255"/>
      <c r="AO47" s="255"/>
      <c r="AP47" s="255"/>
      <c r="AQ47" s="255"/>
      <c r="AR47" s="255"/>
      <c r="AS47" s="255"/>
      <c r="AT47" s="255"/>
      <c r="AU47" s="255"/>
      <c r="AV47" s="255"/>
      <c r="AW47" s="255"/>
      <c r="AX47" s="255"/>
      <c r="AY47" s="255"/>
      <c r="AZ47" s="255"/>
      <c r="BA47" s="255"/>
      <c r="BB47" s="255"/>
      <c r="BC47" s="255"/>
      <c r="BD47" s="255"/>
      <c r="BE47" s="255"/>
      <c r="BF47" s="255"/>
      <c r="BG47" s="255"/>
      <c r="BH47" s="255"/>
      <c r="BI47" s="255"/>
      <c r="BJ47" s="255"/>
      <c r="BK47" s="255"/>
      <c r="BL47" s="255"/>
      <c r="BM47" s="255"/>
      <c r="BN47" s="255"/>
      <c r="BO47" s="255"/>
      <c r="BP47" s="255"/>
      <c r="BQ47" s="255"/>
      <c r="BR47" s="255"/>
      <c r="BS47" s="255"/>
      <c r="BT47" s="255"/>
      <c r="BU47" s="255"/>
      <c r="BV47" s="255"/>
      <c r="BW47" s="255"/>
      <c r="BX47" s="255"/>
      <c r="BY47" s="255"/>
      <c r="BZ47" s="255"/>
      <c r="CA47" s="255"/>
      <c r="CB47" s="255"/>
      <c r="CC47" s="255"/>
      <c r="CD47" s="255"/>
      <c r="CE47" s="255"/>
      <c r="CF47" s="255"/>
      <c r="CG47" s="255"/>
      <c r="CH47" s="255"/>
      <c r="CI47" s="255"/>
      <c r="CJ47" s="255"/>
      <c r="CK47" s="255"/>
      <c r="CL47" s="255"/>
      <c r="CM47" s="255"/>
      <c r="CN47" s="255"/>
      <c r="CO47" s="255"/>
      <c r="CP47" s="255"/>
      <c r="CQ47" s="255"/>
      <c r="CR47" s="255"/>
      <c r="CS47" s="255"/>
      <c r="CT47" s="255"/>
      <c r="CU47" s="255"/>
      <c r="CV47" s="255"/>
      <c r="CW47" s="255"/>
      <c r="CX47" s="255"/>
      <c r="CY47" s="255"/>
      <c r="CZ47" s="255"/>
      <c r="DA47" s="255"/>
      <c r="DB47" s="255"/>
      <c r="DC47" s="255"/>
      <c r="DD47" s="255"/>
      <c r="DE47" s="255"/>
      <c r="DF47" s="255"/>
      <c r="DG47" s="255"/>
      <c r="DH47" s="255"/>
      <c r="DI47" s="255"/>
      <c r="DJ47" s="255"/>
      <c r="DK47" s="255"/>
      <c r="DL47" s="255"/>
      <c r="DM47" s="255"/>
      <c r="DN47" s="255"/>
      <c r="DO47" s="255"/>
      <c r="DP47" s="255"/>
      <c r="DQ47" s="255"/>
      <c r="DR47" s="255"/>
      <c r="DS47" s="255"/>
      <c r="DT47" s="255"/>
      <c r="DU47" s="255"/>
      <c r="DV47" s="255"/>
      <c r="DW47" s="255"/>
      <c r="DX47" s="255"/>
      <c r="DY47" s="255"/>
      <c r="DZ47" s="255"/>
      <c r="EA47" s="255"/>
      <c r="EB47" s="255"/>
      <c r="EC47" s="256"/>
      <c r="ED47" s="110"/>
    </row>
    <row r="48" spans="1:153" s="2" customFormat="1" ht="23.25" customHeight="1" x14ac:dyDescent="0.25">
      <c r="A48" s="53"/>
      <c r="B48" s="241" t="s">
        <v>30</v>
      </c>
      <c r="C48" s="245" t="s">
        <v>77</v>
      </c>
      <c r="D48" s="245" t="s">
        <v>79</v>
      </c>
      <c r="E48" s="245" t="s">
        <v>80</v>
      </c>
      <c r="F48" s="245" t="s">
        <v>81</v>
      </c>
      <c r="G48" s="241" t="s">
        <v>17</v>
      </c>
      <c r="H48" s="37" t="s">
        <v>3</v>
      </c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257" t="s">
        <v>16</v>
      </c>
      <c r="AP48" s="258"/>
      <c r="AQ48" s="258"/>
      <c r="AR48" s="258"/>
      <c r="AS48" s="258"/>
      <c r="AT48" s="258"/>
      <c r="AU48" s="258"/>
      <c r="AV48" s="258"/>
      <c r="AW48" s="258"/>
      <c r="AX48" s="258"/>
      <c r="AY48" s="258"/>
      <c r="AZ48" s="258"/>
      <c r="BA48" s="258"/>
      <c r="BB48" s="258"/>
      <c r="BC48" s="258"/>
      <c r="BD48" s="258"/>
      <c r="BE48" s="258"/>
      <c r="BF48" s="258"/>
      <c r="BG48" s="258"/>
      <c r="BH48" s="258"/>
      <c r="BI48" s="258"/>
      <c r="BJ48" s="258"/>
      <c r="BK48" s="258"/>
      <c r="BL48" s="258"/>
      <c r="BM48" s="258"/>
      <c r="BN48" s="258"/>
      <c r="BO48" s="258"/>
      <c r="BP48" s="258"/>
      <c r="BQ48" s="258"/>
      <c r="BR48" s="258"/>
      <c r="BS48" s="258"/>
      <c r="BT48" s="258"/>
      <c r="BU48" s="258"/>
      <c r="BV48" s="258"/>
      <c r="BW48" s="258"/>
      <c r="BX48" s="258"/>
      <c r="BY48" s="258"/>
      <c r="BZ48" s="258"/>
      <c r="CA48" s="258"/>
      <c r="CB48" s="258"/>
      <c r="CC48" s="258"/>
      <c r="CD48" s="258"/>
      <c r="CE48" s="258"/>
      <c r="CF48" s="258"/>
      <c r="CG48" s="258"/>
      <c r="CH48" s="258"/>
      <c r="CI48" s="258"/>
      <c r="CJ48" s="258"/>
      <c r="CK48" s="258"/>
      <c r="CL48" s="258"/>
      <c r="CM48" s="258"/>
      <c r="CN48" s="258"/>
      <c r="CO48" s="258"/>
      <c r="CP48" s="258"/>
      <c r="CQ48" s="258"/>
      <c r="CR48" s="258"/>
      <c r="CS48" s="258"/>
      <c r="CT48" s="258"/>
      <c r="CU48" s="258"/>
      <c r="CV48" s="258"/>
      <c r="CW48" s="258"/>
      <c r="CX48" s="258"/>
      <c r="CY48" s="258"/>
      <c r="CZ48" s="258"/>
      <c r="DA48" s="258"/>
      <c r="DB48" s="258"/>
      <c r="DC48" s="258"/>
      <c r="DD48" s="258"/>
      <c r="DE48" s="258"/>
      <c r="DF48" s="258"/>
      <c r="DG48" s="258"/>
      <c r="DH48" s="258"/>
      <c r="DI48" s="258"/>
      <c r="DJ48" s="258"/>
      <c r="DK48" s="258"/>
      <c r="DL48" s="258"/>
      <c r="DM48" s="258"/>
      <c r="DN48" s="258"/>
      <c r="DO48" s="258"/>
      <c r="DP48" s="258"/>
      <c r="DQ48" s="258"/>
      <c r="DR48" s="258"/>
      <c r="DS48" s="258"/>
      <c r="DT48" s="258"/>
      <c r="DU48" s="258"/>
      <c r="DV48" s="258"/>
      <c r="DW48" s="258"/>
      <c r="DX48" s="258"/>
      <c r="DY48" s="258"/>
      <c r="DZ48" s="258"/>
      <c r="EA48" s="258"/>
      <c r="EB48" s="258"/>
      <c r="EC48" s="259"/>
      <c r="ED48" s="97"/>
      <c r="ET48"/>
      <c r="EU48"/>
      <c r="EV48"/>
      <c r="EW48"/>
    </row>
    <row r="49" spans="1:153" s="2" customFormat="1" ht="23.25" customHeight="1" x14ac:dyDescent="0.25">
      <c r="A49" s="53"/>
      <c r="B49" s="241"/>
      <c r="C49" s="246"/>
      <c r="D49" s="246"/>
      <c r="E49" s="246"/>
      <c r="F49" s="246"/>
      <c r="G49" s="241"/>
      <c r="H49" s="38">
        <v>1</v>
      </c>
      <c r="I49" s="38">
        <v>2</v>
      </c>
      <c r="J49" s="38">
        <v>3</v>
      </c>
      <c r="K49" s="38">
        <v>4</v>
      </c>
      <c r="L49" s="38">
        <v>5</v>
      </c>
      <c r="M49" s="38">
        <f t="shared" ref="M49:AR49" si="58">1+L49</f>
        <v>6</v>
      </c>
      <c r="N49" s="38">
        <f t="shared" si="58"/>
        <v>7</v>
      </c>
      <c r="O49" s="38">
        <f t="shared" si="58"/>
        <v>8</v>
      </c>
      <c r="P49" s="38">
        <f t="shared" si="58"/>
        <v>9</v>
      </c>
      <c r="Q49" s="38">
        <f t="shared" si="58"/>
        <v>10</v>
      </c>
      <c r="R49" s="38">
        <f t="shared" si="58"/>
        <v>11</v>
      </c>
      <c r="S49" s="38">
        <f t="shared" si="58"/>
        <v>12</v>
      </c>
      <c r="T49" s="38">
        <f t="shared" si="58"/>
        <v>13</v>
      </c>
      <c r="U49" s="38">
        <f t="shared" si="58"/>
        <v>14</v>
      </c>
      <c r="V49" s="38">
        <f t="shared" si="58"/>
        <v>15</v>
      </c>
      <c r="W49" s="38">
        <f t="shared" si="58"/>
        <v>16</v>
      </c>
      <c r="X49" s="38">
        <f t="shared" si="58"/>
        <v>17</v>
      </c>
      <c r="Y49" s="38">
        <f t="shared" si="58"/>
        <v>18</v>
      </c>
      <c r="Z49" s="38">
        <f t="shared" si="58"/>
        <v>19</v>
      </c>
      <c r="AA49" s="38">
        <f t="shared" si="58"/>
        <v>20</v>
      </c>
      <c r="AB49" s="38">
        <f t="shared" si="58"/>
        <v>21</v>
      </c>
      <c r="AC49" s="38">
        <f t="shared" si="58"/>
        <v>22</v>
      </c>
      <c r="AD49" s="38">
        <f t="shared" si="58"/>
        <v>23</v>
      </c>
      <c r="AE49" s="38">
        <f t="shared" si="58"/>
        <v>24</v>
      </c>
      <c r="AF49" s="38">
        <f t="shared" si="58"/>
        <v>25</v>
      </c>
      <c r="AG49" s="38">
        <f t="shared" si="58"/>
        <v>26</v>
      </c>
      <c r="AH49" s="38">
        <f t="shared" si="58"/>
        <v>27</v>
      </c>
      <c r="AI49" s="38">
        <f t="shared" si="58"/>
        <v>28</v>
      </c>
      <c r="AJ49" s="38">
        <f t="shared" si="58"/>
        <v>29</v>
      </c>
      <c r="AK49" s="38">
        <f t="shared" si="58"/>
        <v>30</v>
      </c>
      <c r="AL49" s="38">
        <f t="shared" si="58"/>
        <v>31</v>
      </c>
      <c r="AM49" s="38">
        <f t="shared" si="58"/>
        <v>32</v>
      </c>
      <c r="AN49" s="38">
        <f t="shared" si="58"/>
        <v>33</v>
      </c>
      <c r="AO49" s="38">
        <f t="shared" si="58"/>
        <v>34</v>
      </c>
      <c r="AP49" s="38">
        <f t="shared" si="58"/>
        <v>35</v>
      </c>
      <c r="AQ49" s="38">
        <f t="shared" si="58"/>
        <v>36</v>
      </c>
      <c r="AR49" s="38">
        <f t="shared" si="58"/>
        <v>37</v>
      </c>
      <c r="AS49" s="38">
        <f t="shared" ref="AS49:BF49" si="59">1+AR49</f>
        <v>38</v>
      </c>
      <c r="AT49" s="38">
        <f t="shared" si="59"/>
        <v>39</v>
      </c>
      <c r="AU49" s="38">
        <f t="shared" si="59"/>
        <v>40</v>
      </c>
      <c r="AV49" s="38">
        <f t="shared" si="59"/>
        <v>41</v>
      </c>
      <c r="AW49" s="38">
        <f t="shared" si="59"/>
        <v>42</v>
      </c>
      <c r="AX49" s="38">
        <f t="shared" si="59"/>
        <v>43</v>
      </c>
      <c r="AY49" s="38">
        <f t="shared" si="59"/>
        <v>44</v>
      </c>
      <c r="AZ49" s="38">
        <f t="shared" si="59"/>
        <v>45</v>
      </c>
      <c r="BA49" s="38">
        <f t="shared" si="59"/>
        <v>46</v>
      </c>
      <c r="BB49" s="38">
        <f t="shared" si="59"/>
        <v>47</v>
      </c>
      <c r="BC49" s="38">
        <f t="shared" si="59"/>
        <v>48</v>
      </c>
      <c r="BD49" s="38">
        <f t="shared" si="59"/>
        <v>49</v>
      </c>
      <c r="BE49" s="38">
        <f t="shared" si="59"/>
        <v>50</v>
      </c>
      <c r="BF49" s="38">
        <f t="shared" si="59"/>
        <v>51</v>
      </c>
      <c r="BG49" s="38">
        <f t="shared" ref="BG49" si="60">1+BF49</f>
        <v>52</v>
      </c>
      <c r="BH49" s="38">
        <f t="shared" ref="BH49" si="61">1+BG49</f>
        <v>53</v>
      </c>
      <c r="BI49" s="38">
        <f t="shared" ref="BI49" si="62">1+BH49</f>
        <v>54</v>
      </c>
      <c r="BJ49" s="38">
        <f t="shared" ref="BJ49" si="63">1+BI49</f>
        <v>55</v>
      </c>
      <c r="BK49" s="38">
        <f t="shared" ref="BK49" si="64">1+BJ49</f>
        <v>56</v>
      </c>
      <c r="BL49" s="38">
        <f t="shared" ref="BL49" si="65">1+BK49</f>
        <v>57</v>
      </c>
      <c r="BM49" s="38">
        <f t="shared" ref="BM49" si="66">1+BL49</f>
        <v>58</v>
      </c>
      <c r="BN49" s="38">
        <f t="shared" ref="BN49" si="67">1+BM49</f>
        <v>59</v>
      </c>
      <c r="BO49" s="38">
        <f t="shared" ref="BO49" si="68">1+BN49</f>
        <v>60</v>
      </c>
      <c r="BP49" s="38">
        <f t="shared" ref="BP49" si="69">1+BO49</f>
        <v>61</v>
      </c>
      <c r="BQ49" s="38">
        <f t="shared" ref="BQ49" si="70">1+BP49</f>
        <v>62</v>
      </c>
      <c r="BR49" s="38">
        <f t="shared" ref="BR49" si="71">1+BQ49</f>
        <v>63</v>
      </c>
      <c r="BS49" s="38">
        <f t="shared" ref="BS49" si="72">1+BR49</f>
        <v>64</v>
      </c>
      <c r="BT49" s="38">
        <f t="shared" ref="BT49" si="73">1+BS49</f>
        <v>65</v>
      </c>
      <c r="BU49" s="38">
        <f t="shared" ref="BU49" si="74">1+BT49</f>
        <v>66</v>
      </c>
      <c r="BV49" s="38">
        <f t="shared" ref="BV49" si="75">1+BU49</f>
        <v>67</v>
      </c>
      <c r="BW49" s="38">
        <f t="shared" ref="BW49" si="76">1+BV49</f>
        <v>68</v>
      </c>
      <c r="BX49" s="38">
        <f t="shared" ref="BX49" si="77">1+BW49</f>
        <v>69</v>
      </c>
      <c r="BY49" s="38">
        <f t="shared" ref="BY49" si="78">1+BX49</f>
        <v>70</v>
      </c>
      <c r="BZ49" s="38">
        <f t="shared" ref="BZ49" si="79">1+BY49</f>
        <v>71</v>
      </c>
      <c r="CA49" s="38">
        <f t="shared" ref="CA49" si="80">1+BZ49</f>
        <v>72</v>
      </c>
      <c r="CB49" s="38">
        <f t="shared" ref="CB49" si="81">1+CA49</f>
        <v>73</v>
      </c>
      <c r="CC49" s="38">
        <f t="shared" ref="CC49" si="82">1+CB49</f>
        <v>74</v>
      </c>
      <c r="CD49" s="38">
        <f t="shared" ref="CD49" si="83">1+CC49</f>
        <v>75</v>
      </c>
      <c r="CE49" s="38">
        <f t="shared" ref="CE49:DE49" si="84">1+CD49</f>
        <v>76</v>
      </c>
      <c r="CF49" s="38">
        <f t="shared" si="84"/>
        <v>77</v>
      </c>
      <c r="CG49" s="38">
        <f t="shared" si="84"/>
        <v>78</v>
      </c>
      <c r="CH49" s="38">
        <f t="shared" si="84"/>
        <v>79</v>
      </c>
      <c r="CI49" s="38">
        <f t="shared" si="84"/>
        <v>80</v>
      </c>
      <c r="CJ49" s="38">
        <f t="shared" si="84"/>
        <v>81</v>
      </c>
      <c r="CK49" s="38">
        <f t="shared" si="84"/>
        <v>82</v>
      </c>
      <c r="CL49" s="38">
        <f t="shared" si="84"/>
        <v>83</v>
      </c>
      <c r="CM49" s="38">
        <f t="shared" si="84"/>
        <v>84</v>
      </c>
      <c r="CN49" s="38">
        <f t="shared" si="84"/>
        <v>85</v>
      </c>
      <c r="CO49" s="38">
        <f t="shared" si="84"/>
        <v>86</v>
      </c>
      <c r="CP49" s="38">
        <f t="shared" si="84"/>
        <v>87</v>
      </c>
      <c r="CQ49" s="38">
        <f t="shared" si="84"/>
        <v>88</v>
      </c>
      <c r="CR49" s="38">
        <f t="shared" si="84"/>
        <v>89</v>
      </c>
      <c r="CS49" s="38">
        <f t="shared" si="84"/>
        <v>90</v>
      </c>
      <c r="CT49" s="38">
        <f t="shared" si="84"/>
        <v>91</v>
      </c>
      <c r="CU49" s="38">
        <f t="shared" si="84"/>
        <v>92</v>
      </c>
      <c r="CV49" s="38">
        <f t="shared" si="84"/>
        <v>93</v>
      </c>
      <c r="CW49" s="38">
        <f t="shared" si="84"/>
        <v>94</v>
      </c>
      <c r="CX49" s="38">
        <f t="shared" si="84"/>
        <v>95</v>
      </c>
      <c r="CY49" s="38">
        <f t="shared" si="84"/>
        <v>96</v>
      </c>
      <c r="CZ49" s="38">
        <f t="shared" si="84"/>
        <v>97</v>
      </c>
      <c r="DA49" s="38">
        <f t="shared" si="84"/>
        <v>98</v>
      </c>
      <c r="DB49" s="38">
        <f t="shared" si="84"/>
        <v>99</v>
      </c>
      <c r="DC49" s="38">
        <f t="shared" si="84"/>
        <v>100</v>
      </c>
      <c r="DD49" s="38">
        <f t="shared" si="84"/>
        <v>101</v>
      </c>
      <c r="DE49" s="38">
        <f t="shared" si="84"/>
        <v>102</v>
      </c>
      <c r="DF49" s="38">
        <f>1+BF49</f>
        <v>52</v>
      </c>
      <c r="DG49" s="38">
        <f t="shared" ref="DG49:EC49" si="85">1+DF49</f>
        <v>53</v>
      </c>
      <c r="DH49" s="38">
        <f t="shared" si="85"/>
        <v>54</v>
      </c>
      <c r="DI49" s="38">
        <f t="shared" si="85"/>
        <v>55</v>
      </c>
      <c r="DJ49" s="38">
        <f t="shared" si="85"/>
        <v>56</v>
      </c>
      <c r="DK49" s="38">
        <f t="shared" si="85"/>
        <v>57</v>
      </c>
      <c r="DL49" s="38">
        <f t="shared" si="85"/>
        <v>58</v>
      </c>
      <c r="DM49" s="38">
        <f t="shared" si="85"/>
        <v>59</v>
      </c>
      <c r="DN49" s="38">
        <f t="shared" si="85"/>
        <v>60</v>
      </c>
      <c r="DO49" s="38">
        <f t="shared" si="85"/>
        <v>61</v>
      </c>
      <c r="DP49" s="38">
        <f t="shared" si="85"/>
        <v>62</v>
      </c>
      <c r="DQ49" s="38">
        <f t="shared" si="85"/>
        <v>63</v>
      </c>
      <c r="DR49" s="38">
        <f t="shared" si="85"/>
        <v>64</v>
      </c>
      <c r="DS49" s="38">
        <f t="shared" si="85"/>
        <v>65</v>
      </c>
      <c r="DT49" s="38">
        <f t="shared" si="85"/>
        <v>66</v>
      </c>
      <c r="DU49" s="38">
        <f t="shared" si="85"/>
        <v>67</v>
      </c>
      <c r="DV49" s="38">
        <f t="shared" si="85"/>
        <v>68</v>
      </c>
      <c r="DW49" s="38">
        <f t="shared" si="85"/>
        <v>69</v>
      </c>
      <c r="DX49" s="38">
        <f t="shared" si="85"/>
        <v>70</v>
      </c>
      <c r="DY49" s="38">
        <f t="shared" si="85"/>
        <v>71</v>
      </c>
      <c r="DZ49" s="38">
        <f t="shared" si="85"/>
        <v>72</v>
      </c>
      <c r="EA49" s="38">
        <f t="shared" si="85"/>
        <v>73</v>
      </c>
      <c r="EB49" s="38">
        <f t="shared" si="85"/>
        <v>74</v>
      </c>
      <c r="EC49" s="38">
        <f t="shared" si="85"/>
        <v>75</v>
      </c>
      <c r="ET49"/>
      <c r="EU49"/>
      <c r="EV49"/>
      <c r="EW49"/>
    </row>
    <row r="50" spans="1:153" s="2" customFormat="1" ht="23.25" customHeight="1" x14ac:dyDescent="0.25">
      <c r="A50" s="53"/>
      <c r="B50" s="241"/>
      <c r="C50" s="247"/>
      <c r="D50" s="247"/>
      <c r="E50" s="247"/>
      <c r="F50" s="247"/>
      <c r="G50" s="241"/>
      <c r="H50" s="39">
        <v>46013</v>
      </c>
      <c r="I50" s="39">
        <v>46014</v>
      </c>
      <c r="J50" s="39">
        <v>46015</v>
      </c>
      <c r="K50" s="39">
        <v>46017</v>
      </c>
      <c r="L50" s="39">
        <v>46020</v>
      </c>
      <c r="M50" s="39">
        <v>46021</v>
      </c>
      <c r="N50" s="39">
        <v>46022</v>
      </c>
      <c r="O50" s="39">
        <v>46024</v>
      </c>
      <c r="P50" s="40">
        <v>46027</v>
      </c>
      <c r="Q50" s="40">
        <v>46028</v>
      </c>
      <c r="R50" s="40">
        <v>46029</v>
      </c>
      <c r="S50" s="40">
        <v>46030</v>
      </c>
      <c r="T50" s="40">
        <v>46031</v>
      </c>
      <c r="U50" s="39">
        <v>46034</v>
      </c>
      <c r="V50" s="39">
        <v>46035</v>
      </c>
      <c r="W50" s="39">
        <v>46036</v>
      </c>
      <c r="X50" s="39">
        <v>46037</v>
      </c>
      <c r="Y50" s="39">
        <v>46039</v>
      </c>
      <c r="Z50" s="39">
        <v>46041</v>
      </c>
      <c r="AA50" s="39">
        <v>46042</v>
      </c>
      <c r="AB50" s="39">
        <v>46043</v>
      </c>
      <c r="AC50" s="39">
        <v>46044</v>
      </c>
      <c r="AD50" s="39">
        <v>46045</v>
      </c>
      <c r="AE50" s="39">
        <v>46048</v>
      </c>
      <c r="AF50" s="39">
        <v>46049</v>
      </c>
      <c r="AG50" s="39">
        <v>46050</v>
      </c>
      <c r="AH50" s="39">
        <v>46051</v>
      </c>
      <c r="AI50" s="39">
        <v>46052</v>
      </c>
      <c r="AJ50" s="39">
        <v>46055</v>
      </c>
      <c r="AK50" s="39">
        <v>46056</v>
      </c>
      <c r="AL50" s="39">
        <v>46057</v>
      </c>
      <c r="AM50" s="39">
        <v>46058</v>
      </c>
      <c r="AN50" s="39">
        <v>46059</v>
      </c>
      <c r="AO50" s="39">
        <v>46083</v>
      </c>
      <c r="AP50" s="39">
        <v>46084</v>
      </c>
      <c r="AQ50" s="39">
        <v>46085</v>
      </c>
      <c r="AR50" s="39">
        <v>46086</v>
      </c>
      <c r="AS50" s="39">
        <v>46087</v>
      </c>
      <c r="AT50" s="39">
        <v>46090</v>
      </c>
      <c r="AU50" s="39">
        <v>46091</v>
      </c>
      <c r="AV50" s="39">
        <v>46092</v>
      </c>
      <c r="AW50" s="39">
        <v>46093</v>
      </c>
      <c r="AX50" s="39">
        <v>46094</v>
      </c>
      <c r="AY50" s="39">
        <v>46097</v>
      </c>
      <c r="AZ50" s="39">
        <v>46098</v>
      </c>
      <c r="BA50" s="39">
        <v>46099</v>
      </c>
      <c r="BB50" s="39">
        <v>46106</v>
      </c>
      <c r="BC50" s="39">
        <v>46107</v>
      </c>
      <c r="BD50" s="39">
        <v>46108</v>
      </c>
      <c r="BE50" s="39">
        <v>46109</v>
      </c>
      <c r="BF50" s="39">
        <v>46111</v>
      </c>
      <c r="BG50" s="39">
        <v>45747</v>
      </c>
      <c r="BH50" s="39">
        <v>46113</v>
      </c>
      <c r="BI50" s="39">
        <v>46114</v>
      </c>
      <c r="BJ50" s="39">
        <v>46115</v>
      </c>
      <c r="BK50" s="39">
        <v>46116</v>
      </c>
      <c r="BL50" s="39">
        <v>46118</v>
      </c>
      <c r="BM50" s="39">
        <v>46119</v>
      </c>
      <c r="BN50" s="39">
        <v>46120</v>
      </c>
      <c r="BO50" s="39">
        <v>46121</v>
      </c>
      <c r="BP50" s="39">
        <v>46122</v>
      </c>
      <c r="BQ50" s="39">
        <v>46123</v>
      </c>
      <c r="BR50" s="39">
        <v>46125</v>
      </c>
      <c r="BS50" s="39">
        <v>46126</v>
      </c>
      <c r="BT50" s="39">
        <v>46127</v>
      </c>
      <c r="BU50" s="39">
        <v>46128</v>
      </c>
      <c r="BV50" s="39">
        <v>46129</v>
      </c>
      <c r="BW50" s="39">
        <v>46130</v>
      </c>
      <c r="BX50" s="39">
        <v>46132</v>
      </c>
      <c r="BY50" s="39">
        <v>46133</v>
      </c>
      <c r="BZ50" s="39">
        <v>46134</v>
      </c>
      <c r="CA50" s="39">
        <v>46135</v>
      </c>
      <c r="CB50" s="39">
        <v>46136</v>
      </c>
      <c r="CC50" s="39">
        <v>46137</v>
      </c>
      <c r="CD50" s="39">
        <v>46138</v>
      </c>
      <c r="CE50" s="39">
        <v>46139</v>
      </c>
      <c r="CF50" s="39">
        <v>46140</v>
      </c>
      <c r="CG50" s="39">
        <v>46141</v>
      </c>
      <c r="CH50" s="39">
        <v>46142</v>
      </c>
      <c r="CI50" s="39">
        <v>46143</v>
      </c>
      <c r="CJ50" s="39">
        <v>46144</v>
      </c>
      <c r="CK50" s="39">
        <v>46145</v>
      </c>
      <c r="CL50" s="39">
        <v>45778</v>
      </c>
      <c r="CM50" s="39">
        <v>45779</v>
      </c>
      <c r="CN50" s="39">
        <v>45780</v>
      </c>
      <c r="CO50" s="39">
        <v>45781</v>
      </c>
      <c r="CP50" s="39">
        <v>45782</v>
      </c>
      <c r="CQ50" s="39">
        <v>45783</v>
      </c>
      <c r="CR50" s="39">
        <v>45784</v>
      </c>
      <c r="CS50" s="39">
        <v>45785</v>
      </c>
      <c r="CT50" s="39">
        <v>45786</v>
      </c>
      <c r="CU50" s="39">
        <v>45787</v>
      </c>
      <c r="CV50" s="39">
        <v>45788</v>
      </c>
      <c r="CW50" s="39">
        <v>45789</v>
      </c>
      <c r="CX50" s="39">
        <v>45790</v>
      </c>
      <c r="CY50" s="39">
        <v>45791</v>
      </c>
      <c r="CZ50" s="39">
        <v>45792</v>
      </c>
      <c r="DA50" s="39">
        <v>45793</v>
      </c>
      <c r="DB50" s="39">
        <v>45794</v>
      </c>
      <c r="DC50" s="39">
        <v>45795</v>
      </c>
      <c r="DD50" s="39">
        <v>45796</v>
      </c>
      <c r="DE50" s="39">
        <v>45797</v>
      </c>
      <c r="DF50" s="39">
        <v>45798</v>
      </c>
      <c r="DG50" s="39">
        <v>45799</v>
      </c>
      <c r="DH50" s="39">
        <v>45800</v>
      </c>
      <c r="DI50" s="39">
        <v>45801</v>
      </c>
      <c r="DJ50" s="39">
        <v>45802</v>
      </c>
      <c r="DK50" s="39">
        <v>45803</v>
      </c>
      <c r="DL50" s="39">
        <v>45804</v>
      </c>
      <c r="DM50" s="39">
        <v>45805</v>
      </c>
      <c r="DN50" s="39">
        <v>45806</v>
      </c>
      <c r="DO50" s="39">
        <v>45807</v>
      </c>
      <c r="DP50" s="39">
        <v>45808</v>
      </c>
      <c r="DQ50" s="39">
        <v>45809</v>
      </c>
      <c r="DR50" s="39">
        <v>45810</v>
      </c>
      <c r="DS50" s="39">
        <v>45811</v>
      </c>
      <c r="DT50" s="39">
        <v>45812</v>
      </c>
      <c r="DU50" s="39">
        <v>45813</v>
      </c>
      <c r="DV50" s="39">
        <v>45814</v>
      </c>
      <c r="DW50" s="39">
        <v>45815</v>
      </c>
      <c r="DX50" s="39">
        <v>45816</v>
      </c>
      <c r="DY50" s="39">
        <v>45817</v>
      </c>
      <c r="DZ50" s="39">
        <v>45818</v>
      </c>
      <c r="EA50" s="39">
        <v>45819</v>
      </c>
      <c r="EB50" s="39">
        <v>45820</v>
      </c>
      <c r="EC50" s="39">
        <v>45821</v>
      </c>
      <c r="ET50"/>
      <c r="EU50"/>
      <c r="EV50"/>
      <c r="EW50"/>
    </row>
    <row r="51" spans="1:153" ht="23.25" customHeight="1" x14ac:dyDescent="0.25">
      <c r="A51" s="54"/>
      <c r="B51" s="262" t="s">
        <v>19</v>
      </c>
      <c r="C51" s="239" t="s">
        <v>78</v>
      </c>
      <c r="D51" s="239">
        <v>29</v>
      </c>
      <c r="E51" s="239">
        <v>29</v>
      </c>
      <c r="F51" s="239">
        <f>+E51-D51</f>
        <v>0</v>
      </c>
      <c r="G51" s="135" t="s">
        <v>10</v>
      </c>
      <c r="H51" s="144">
        <v>468</v>
      </c>
      <c r="I51" s="144">
        <v>522</v>
      </c>
      <c r="J51" s="144">
        <v>300</v>
      </c>
      <c r="K51" s="145"/>
      <c r="L51" s="144">
        <v>276</v>
      </c>
      <c r="M51" s="144">
        <v>540</v>
      </c>
      <c r="N51" s="144">
        <v>444</v>
      </c>
      <c r="O51" s="144">
        <v>462</v>
      </c>
      <c r="P51" s="144">
        <v>600</v>
      </c>
      <c r="Q51" s="144">
        <v>582</v>
      </c>
      <c r="R51" s="144">
        <v>429</v>
      </c>
      <c r="S51" s="146"/>
      <c r="T51" s="146"/>
      <c r="U51" s="146"/>
      <c r="V51" s="145"/>
      <c r="W51" s="145"/>
      <c r="X51" s="145"/>
      <c r="Y51" s="145"/>
      <c r="Z51" s="146"/>
      <c r="AA51" s="145"/>
      <c r="AB51" s="146"/>
      <c r="AC51" s="146"/>
      <c r="AD51" s="147"/>
      <c r="AE51" s="147">
        <v>600</v>
      </c>
      <c r="AF51" s="145">
        <v>600</v>
      </c>
      <c r="AG51" s="145">
        <v>612</v>
      </c>
      <c r="AH51" s="145">
        <v>672</v>
      </c>
      <c r="AI51" s="145">
        <v>348</v>
      </c>
      <c r="AJ51" s="146">
        <v>468</v>
      </c>
      <c r="AK51" s="145">
        <v>552</v>
      </c>
      <c r="AL51" s="146">
        <v>316</v>
      </c>
      <c r="AM51" s="148">
        <v>503</v>
      </c>
      <c r="AN51" s="146">
        <v>690</v>
      </c>
      <c r="AO51" s="146">
        <f>+'Cell 4 603'!BB13</f>
        <v>636</v>
      </c>
      <c r="AP51" s="146">
        <f>+'Cell 4 603'!BC13</f>
        <v>702</v>
      </c>
      <c r="AQ51" s="146">
        <f>+'Cell 4 603'!BD13</f>
        <v>630</v>
      </c>
      <c r="AR51" s="146">
        <f>+'Cell 4 603'!BE13</f>
        <v>546</v>
      </c>
      <c r="AS51" s="146">
        <f>+'Cell 4 603'!BF13</f>
        <v>540</v>
      </c>
      <c r="AT51" s="146">
        <f>+'Cell 4 603'!BG13</f>
        <v>510</v>
      </c>
      <c r="AU51" s="146">
        <f>+'Cell 4 603'!BH13</f>
        <v>600</v>
      </c>
      <c r="AV51" s="146">
        <f>+'Cell 4 603'!BI13</f>
        <v>600</v>
      </c>
      <c r="AW51" s="146">
        <f>+'Cell 4 603'!BJ13</f>
        <v>600</v>
      </c>
      <c r="AX51" s="146">
        <f>+'Cell 4 603'!BK13</f>
        <v>660</v>
      </c>
      <c r="AY51" s="146">
        <f>+'Cell 4 603'!BL13</f>
        <v>702</v>
      </c>
      <c r="AZ51" s="146">
        <f>+'Cell 4 603'!BM13</f>
        <v>702</v>
      </c>
      <c r="BA51" s="146">
        <f>+'Cell 4 603'!BN13</f>
        <v>600</v>
      </c>
      <c r="BB51" s="146">
        <f>+'Cell 4 603'!BO13</f>
        <v>600</v>
      </c>
      <c r="BC51" s="146">
        <f>+'Cell 4 603'!BP13</f>
        <v>720</v>
      </c>
      <c r="BD51" s="146">
        <f>+'Cell 4 603'!BQ13</f>
        <v>720</v>
      </c>
      <c r="BE51" s="146">
        <f>+'Cell 4 603'!BR13</f>
        <v>810</v>
      </c>
      <c r="BF51" s="146">
        <f>+'Cell 4 603'!BS13</f>
        <v>810</v>
      </c>
      <c r="BG51" s="146">
        <f>+'Cell 4 603'!BT13</f>
        <v>840</v>
      </c>
      <c r="BH51" s="146">
        <f>+'Cell 4 603'!BU13</f>
        <v>858</v>
      </c>
      <c r="BI51" s="146">
        <f>+'Cell 4 603'!BV13</f>
        <v>800</v>
      </c>
      <c r="BJ51" s="146">
        <f>+'Cell 4 603'!BW13</f>
        <v>840</v>
      </c>
      <c r="BK51" s="146">
        <f>+'Cell 4 603'!BX13</f>
        <v>900</v>
      </c>
      <c r="BL51" s="146">
        <f>+'Cell 4 603'!BY13</f>
        <v>840</v>
      </c>
      <c r="BM51" s="146">
        <f>+'Cell 4 603'!BZ13</f>
        <v>750</v>
      </c>
      <c r="BN51" s="146">
        <f>+'Cell 4 603'!CA13</f>
        <v>804</v>
      </c>
      <c r="BO51" s="146">
        <f>+'Cell 4 603'!CB13</f>
        <v>804</v>
      </c>
      <c r="BP51" s="146">
        <f>+'Cell 4 603'!CC13</f>
        <v>888</v>
      </c>
      <c r="BQ51" s="146">
        <f>+'Cell 4 603'!CD13</f>
        <v>750</v>
      </c>
      <c r="BR51" s="146">
        <f>+'Cell 4 603'!CE13</f>
        <v>900</v>
      </c>
      <c r="BS51" s="146">
        <f>+'Cell 4 603'!CF13</f>
        <v>840</v>
      </c>
      <c r="BT51" s="146">
        <f>+'Cell 4 603'!CG13</f>
        <v>840</v>
      </c>
      <c r="BU51" s="146">
        <f>+'Cell 4 603'!CH13</f>
        <v>888</v>
      </c>
      <c r="BV51" s="146">
        <f>+'Cell 4 603'!CI13</f>
        <v>864</v>
      </c>
      <c r="BW51" s="146">
        <f>+'Cell 4 603'!CJ13</f>
        <v>840</v>
      </c>
      <c r="BX51" s="146">
        <f>+'Cell 4 603'!CK13</f>
        <v>900</v>
      </c>
      <c r="BY51" s="146">
        <f>+'Cell 4 603'!CL13</f>
        <v>980</v>
      </c>
      <c r="BZ51" s="145"/>
      <c r="CA51" s="146"/>
      <c r="CB51" s="146"/>
      <c r="CC51" s="147"/>
      <c r="CD51" s="147"/>
      <c r="CE51" s="145"/>
      <c r="CF51" s="145"/>
      <c r="CG51" s="145"/>
      <c r="CH51" s="145"/>
      <c r="CI51" s="146"/>
      <c r="CJ51" s="145"/>
      <c r="CK51" s="146"/>
      <c r="CL51" s="148"/>
      <c r="CM51" s="146"/>
      <c r="CN51" s="146"/>
      <c r="CO51" s="146"/>
      <c r="CP51" s="146"/>
      <c r="CQ51" s="146"/>
      <c r="CR51" s="146"/>
      <c r="CS51" s="146"/>
      <c r="CT51" s="146"/>
      <c r="CU51" s="146"/>
      <c r="CV51" s="146"/>
      <c r="CW51" s="146"/>
      <c r="CX51" s="146"/>
      <c r="CY51" s="146"/>
      <c r="CZ51" s="146"/>
      <c r="DA51" s="146"/>
      <c r="DB51" s="146"/>
      <c r="DC51" s="146"/>
      <c r="DD51" s="146"/>
      <c r="DE51" s="146"/>
      <c r="DF51" s="146"/>
      <c r="DG51" s="146"/>
      <c r="DH51" s="146"/>
      <c r="DI51" s="146"/>
      <c r="DJ51" s="146"/>
      <c r="DK51" s="146"/>
      <c r="DL51" s="146"/>
      <c r="DM51" s="146"/>
      <c r="DN51" s="146"/>
      <c r="DO51" s="146"/>
      <c r="DP51" s="146"/>
      <c r="DQ51" s="146"/>
      <c r="DR51" s="146"/>
      <c r="DS51" s="146"/>
      <c r="DT51" s="146"/>
      <c r="DU51" s="146"/>
      <c r="DV51" s="146"/>
      <c r="DW51" s="146"/>
      <c r="DX51" s="146"/>
      <c r="DY51" s="146"/>
      <c r="DZ51" s="146"/>
      <c r="EA51" s="146"/>
      <c r="EB51" s="146"/>
      <c r="EC51" s="146"/>
    </row>
    <row r="52" spans="1:153" ht="23.25" customHeight="1" x14ac:dyDescent="0.25">
      <c r="A52" s="54"/>
      <c r="B52" s="262"/>
      <c r="C52" s="240"/>
      <c r="D52" s="240"/>
      <c r="E52" s="240"/>
      <c r="F52" s="240"/>
      <c r="G52" s="135" t="s">
        <v>6</v>
      </c>
      <c r="H52" s="45">
        <f>H51/8</f>
        <v>58.5</v>
      </c>
      <c r="I52" s="45">
        <f>I51/8</f>
        <v>65.25</v>
      </c>
      <c r="J52" s="45">
        <f>J51/10</f>
        <v>30</v>
      </c>
      <c r="K52" s="45">
        <f>K51/8</f>
        <v>0</v>
      </c>
      <c r="L52" s="45">
        <f>+L51/8</f>
        <v>34.5</v>
      </c>
      <c r="M52" s="45">
        <f>+M51/8</f>
        <v>67.5</v>
      </c>
      <c r="N52" s="45">
        <f>N51/10</f>
        <v>44.4</v>
      </c>
      <c r="O52" s="46">
        <f>O51/10</f>
        <v>46.2</v>
      </c>
      <c r="P52" s="46">
        <f>P51/10</f>
        <v>60</v>
      </c>
      <c r="Q52" s="46">
        <f>Q51/10</f>
        <v>58.2</v>
      </c>
      <c r="R52" s="45">
        <f>SUM(R51:R51)/8</f>
        <v>53.625</v>
      </c>
      <c r="S52" s="45">
        <f>S51/8</f>
        <v>0</v>
      </c>
      <c r="T52" s="45">
        <f>T51/8</f>
        <v>0</v>
      </c>
      <c r="U52" s="45">
        <f>U51/8</f>
        <v>0</v>
      </c>
      <c r="V52" s="45">
        <f>V51/8</f>
        <v>0</v>
      </c>
      <c r="W52" s="45">
        <f>W51/8</f>
        <v>0</v>
      </c>
      <c r="X52" s="45">
        <f t="shared" ref="X52:AC52" si="86">SUM(X51:X51)/8</f>
        <v>0</v>
      </c>
      <c r="Y52" s="45">
        <f t="shared" si="86"/>
        <v>0</v>
      </c>
      <c r="Z52" s="45">
        <f t="shared" si="86"/>
        <v>0</v>
      </c>
      <c r="AA52" s="45">
        <f t="shared" si="86"/>
        <v>0</v>
      </c>
      <c r="AB52" s="45">
        <f t="shared" si="86"/>
        <v>0</v>
      </c>
      <c r="AC52" s="45">
        <f t="shared" si="86"/>
        <v>0</v>
      </c>
      <c r="AD52" s="45">
        <f>AD51/8</f>
        <v>0</v>
      </c>
      <c r="AE52" s="45">
        <f>AE51/8</f>
        <v>75</v>
      </c>
      <c r="AF52" s="45">
        <f>AF51/8</f>
        <v>75</v>
      </c>
      <c r="AG52" s="45">
        <f>AG51/10</f>
        <v>61.2</v>
      </c>
      <c r="AH52" s="45">
        <f>AH51/8</f>
        <v>84</v>
      </c>
      <c r="AI52" s="45">
        <f>+AI51/8</f>
        <v>43.5</v>
      </c>
      <c r="AJ52" s="45">
        <f>+AJ51/8</f>
        <v>58.5</v>
      </c>
      <c r="AK52" s="45">
        <f>AK51/9</f>
        <v>61.333333333333336</v>
      </c>
      <c r="AL52" s="45">
        <f>AL51/8</f>
        <v>39.5</v>
      </c>
      <c r="AM52" s="45">
        <f>AM51/8</f>
        <v>62.875</v>
      </c>
      <c r="AN52" s="45">
        <f>SUM(AN51:AN51)/8</f>
        <v>86.25</v>
      </c>
      <c r="AO52" s="45">
        <f>+'Cell 4 603'!BB14</f>
        <v>63.6</v>
      </c>
      <c r="AP52" s="45">
        <f>+'Cell 4 603'!BC14</f>
        <v>70.2</v>
      </c>
      <c r="AQ52" s="45">
        <f>+'Cell 4 603'!BD14</f>
        <v>63</v>
      </c>
      <c r="AR52" s="45">
        <f>+'Cell 4 603'!BE14</f>
        <v>54.6</v>
      </c>
      <c r="AS52" s="45">
        <f>+'Cell 4 603'!BF14</f>
        <v>54</v>
      </c>
      <c r="AT52" s="45">
        <f>+'Cell 4 603'!BG14</f>
        <v>51</v>
      </c>
      <c r="AU52" s="45">
        <f>+'Cell 4 603'!BH14</f>
        <v>60</v>
      </c>
      <c r="AV52" s="45">
        <f>+'Cell 4 603'!BI14</f>
        <v>60</v>
      </c>
      <c r="AW52" s="45">
        <f>+'Cell 4 603'!BJ14</f>
        <v>60</v>
      </c>
      <c r="AX52" s="45">
        <f>+'Cell 4 603'!BK14</f>
        <v>66</v>
      </c>
      <c r="AY52" s="45">
        <f>+'Cell 4 603'!BL14</f>
        <v>70.2</v>
      </c>
      <c r="AZ52" s="45">
        <f>+'Cell 4 603'!BM14</f>
        <v>70.2</v>
      </c>
      <c r="BA52" s="45">
        <f>+'Cell 4 603'!BN14</f>
        <v>60</v>
      </c>
      <c r="BB52" s="45">
        <f>+'Cell 4 603'!BO14</f>
        <v>60</v>
      </c>
      <c r="BC52" s="45">
        <f>+'Cell 4 603'!BP14</f>
        <v>72</v>
      </c>
      <c r="BD52" s="45">
        <f>+'Cell 4 603'!BQ14</f>
        <v>72</v>
      </c>
      <c r="BE52" s="45">
        <f>+'Cell 4 603'!BR14</f>
        <v>81</v>
      </c>
      <c r="BF52" s="45">
        <f>+'Cell 4 603'!BS14</f>
        <v>73.63636363636364</v>
      </c>
      <c r="BG52" s="45">
        <f>+'Cell 4 603'!BT14</f>
        <v>76.36363636363636</v>
      </c>
      <c r="BH52" s="45">
        <f>+'Cell 4 603'!BU14</f>
        <v>71.5</v>
      </c>
      <c r="BI52" s="45">
        <f>+'Cell 4 603'!BV14</f>
        <v>66.666666666666671</v>
      </c>
      <c r="BJ52" s="45">
        <f>+'Cell 4 603'!BW14</f>
        <v>70</v>
      </c>
      <c r="BK52" s="45">
        <f>+'Cell 4 603'!BX14</f>
        <v>75</v>
      </c>
      <c r="BL52" s="45">
        <f>+'Cell 4 603'!BY14</f>
        <v>70</v>
      </c>
      <c r="BM52" s="45">
        <f>+'Cell 4 603'!BZ14</f>
        <v>62.5</v>
      </c>
      <c r="BN52" s="45">
        <f>+'Cell 4 603'!CA14</f>
        <v>67</v>
      </c>
      <c r="BO52" s="45">
        <f>+'Cell 4 603'!CB14</f>
        <v>67</v>
      </c>
      <c r="BP52" s="45">
        <f>+'Cell 4 603'!CC14</f>
        <v>74</v>
      </c>
      <c r="BQ52" s="45">
        <f>+'Cell 4 603'!CD14</f>
        <v>75</v>
      </c>
      <c r="BR52" s="45">
        <f>+'Cell 4 603'!CE14</f>
        <v>75</v>
      </c>
      <c r="BS52" s="45">
        <f>+'Cell 4 603'!CF14</f>
        <v>70</v>
      </c>
      <c r="BT52" s="45">
        <f>+'Cell 4 603'!CG14</f>
        <v>70</v>
      </c>
      <c r="BU52" s="45">
        <f>+'Cell 4 603'!CH14</f>
        <v>74</v>
      </c>
      <c r="BV52" s="45">
        <f>+'Cell 4 603'!CI14</f>
        <v>72</v>
      </c>
      <c r="BW52" s="45">
        <f>+'Cell 4 603'!CJ14</f>
        <v>70</v>
      </c>
      <c r="BX52" s="45">
        <f>+'Cell 4 603'!CK14</f>
        <v>75</v>
      </c>
      <c r="BY52" s="45">
        <f>+'Cell 4 603'!CL14</f>
        <v>81.666666666666671</v>
      </c>
      <c r="BZ52" s="45"/>
      <c r="CA52" s="45"/>
      <c r="CB52" s="45"/>
      <c r="CC52" s="45"/>
      <c r="CD52" s="45"/>
      <c r="CE52" s="45"/>
      <c r="CF52" s="45"/>
      <c r="CG52" s="45"/>
      <c r="CH52" s="45"/>
      <c r="CI52" s="45"/>
      <c r="CJ52" s="45"/>
      <c r="CK52" s="45"/>
      <c r="CL52" s="45"/>
      <c r="CM52" s="45"/>
      <c r="CN52" s="45"/>
      <c r="CO52" s="45"/>
      <c r="CP52" s="45"/>
      <c r="CQ52" s="45"/>
      <c r="CR52" s="45"/>
      <c r="CS52" s="45"/>
      <c r="CT52" s="45"/>
      <c r="CU52" s="45"/>
      <c r="CV52" s="45"/>
      <c r="CW52" s="45"/>
      <c r="CX52" s="45"/>
      <c r="CY52" s="45"/>
      <c r="CZ52" s="45"/>
      <c r="DA52" s="45"/>
      <c r="DB52" s="45"/>
      <c r="DC52" s="45"/>
      <c r="DD52" s="45"/>
      <c r="DE52" s="45"/>
      <c r="DF52" s="45"/>
      <c r="DG52" s="45"/>
      <c r="DH52" s="45"/>
      <c r="DI52" s="45"/>
      <c r="DJ52" s="45"/>
      <c r="DK52" s="45"/>
      <c r="DL52" s="45"/>
      <c r="DM52" s="45"/>
      <c r="DN52" s="45"/>
      <c r="DO52" s="45"/>
      <c r="DP52" s="45"/>
      <c r="DQ52" s="45"/>
      <c r="DR52" s="45"/>
      <c r="DS52" s="45"/>
      <c r="DT52" s="45"/>
      <c r="DU52" s="45"/>
      <c r="DV52" s="45"/>
      <c r="DW52" s="45"/>
      <c r="DX52" s="45"/>
      <c r="DY52" s="45"/>
      <c r="DZ52" s="45"/>
      <c r="EA52" s="45"/>
      <c r="EB52" s="45"/>
      <c r="EC52" s="45"/>
      <c r="EU52" s="171"/>
    </row>
    <row r="53" spans="1:153" s="12" customFormat="1" ht="23.25" customHeight="1" x14ac:dyDescent="0.25">
      <c r="A53" s="55"/>
      <c r="B53" s="238" t="s">
        <v>21</v>
      </c>
      <c r="C53" s="239" t="s">
        <v>78</v>
      </c>
      <c r="D53" s="239">
        <v>29</v>
      </c>
      <c r="E53" s="239">
        <v>27</v>
      </c>
      <c r="F53" s="239">
        <f t="shared" ref="F53" si="87">+E53-D53</f>
        <v>-2</v>
      </c>
      <c r="G53" s="135" t="str">
        <f>G51</f>
        <v>Output/Day</v>
      </c>
      <c r="H53" s="144">
        <v>126</v>
      </c>
      <c r="I53" s="144">
        <v>150</v>
      </c>
      <c r="J53" s="144">
        <v>144</v>
      </c>
      <c r="K53" s="153"/>
      <c r="L53" s="144">
        <v>222</v>
      </c>
      <c r="M53" s="144">
        <v>246</v>
      </c>
      <c r="N53" s="144">
        <v>216</v>
      </c>
      <c r="O53" s="144">
        <v>246</v>
      </c>
      <c r="P53" s="144">
        <v>246</v>
      </c>
      <c r="Q53" s="144">
        <v>288</v>
      </c>
      <c r="R53" s="144">
        <v>342</v>
      </c>
      <c r="S53" s="154"/>
      <c r="T53" s="154"/>
      <c r="U53" s="153"/>
      <c r="V53" s="153"/>
      <c r="W53" s="153"/>
      <c r="X53" s="153"/>
      <c r="Y53" s="153"/>
      <c r="Z53" s="154"/>
      <c r="AA53" s="153"/>
      <c r="AB53" s="154"/>
      <c r="AC53" s="154"/>
      <c r="AD53" s="153"/>
      <c r="AE53" s="153">
        <v>528</v>
      </c>
      <c r="AF53" s="153">
        <v>566</v>
      </c>
      <c r="AG53" s="153">
        <v>467</v>
      </c>
      <c r="AH53" s="153">
        <v>442</v>
      </c>
      <c r="AI53" s="153">
        <v>449</v>
      </c>
      <c r="AJ53" s="154">
        <v>583</v>
      </c>
      <c r="AK53" s="154">
        <v>692</v>
      </c>
      <c r="AL53" s="154">
        <v>714</v>
      </c>
      <c r="AM53" s="154">
        <v>774</v>
      </c>
      <c r="AN53" s="154">
        <v>798</v>
      </c>
      <c r="AO53" s="156">
        <f>+'Cell 5 603'!AS13</f>
        <v>840</v>
      </c>
      <c r="AP53" s="156">
        <f>+'Cell 5 603'!AT13</f>
        <v>702</v>
      </c>
      <c r="AQ53" s="156">
        <f>+'Cell 5 603'!AU13</f>
        <v>702</v>
      </c>
      <c r="AR53" s="156">
        <f>+'Cell 5 603'!AV13</f>
        <v>702</v>
      </c>
      <c r="AS53" s="156">
        <f>+'Cell 5 603'!AW13</f>
        <v>630</v>
      </c>
      <c r="AT53" s="156">
        <f>+'Cell 5 603'!AX13</f>
        <v>804</v>
      </c>
      <c r="AU53" s="156">
        <f>+'Cell 5 603'!AY13</f>
        <v>726</v>
      </c>
      <c r="AV53" s="156">
        <f>+'Cell 5 603'!AZ13</f>
        <v>450</v>
      </c>
      <c r="AW53" s="156">
        <f>+'Cell 5 603'!BA13</f>
        <v>504</v>
      </c>
      <c r="AX53" s="156">
        <f>+'Cell 5 603'!BB13</f>
        <v>504</v>
      </c>
      <c r="AY53" s="156">
        <f>+'Cell 5 603'!BC13</f>
        <v>600</v>
      </c>
      <c r="AZ53" s="156">
        <f>+'Cell 5 603'!BD13</f>
        <v>720</v>
      </c>
      <c r="BA53" s="156">
        <f>+'Cell 5 603'!BE13</f>
        <v>600</v>
      </c>
      <c r="BB53" s="156">
        <f>+'Cell 5 603'!BF13</f>
        <v>504</v>
      </c>
      <c r="BC53" s="156">
        <f>+'Cell 5 603'!BG13</f>
        <v>702</v>
      </c>
      <c r="BD53" s="156">
        <f>+'Cell 5 603'!BH13</f>
        <v>756</v>
      </c>
      <c r="BE53" s="156">
        <f>+'Cell 5 603'!BI13</f>
        <v>840</v>
      </c>
      <c r="BF53" s="156">
        <f>+'Cell 5 603'!BJ13</f>
        <v>803</v>
      </c>
      <c r="BG53" s="156">
        <f>+'Cell 5 603'!BK13</f>
        <v>804</v>
      </c>
      <c r="BH53" s="156">
        <f>+'Cell 5 603'!BL13</f>
        <v>868</v>
      </c>
      <c r="BI53" s="156">
        <f>+'Cell 5 603'!BM13</f>
        <v>804</v>
      </c>
      <c r="BJ53" s="156">
        <f>+'Cell 5 603'!BN13</f>
        <v>900</v>
      </c>
      <c r="BK53" s="156">
        <f>+'Cell 5 603'!BO13</f>
        <v>912</v>
      </c>
      <c r="BL53" s="156">
        <f>+'Cell 5 603'!BP13</f>
        <v>900</v>
      </c>
      <c r="BM53" s="156">
        <f>+'Cell 5 603'!BQ13</f>
        <v>804</v>
      </c>
      <c r="BN53" s="156">
        <f>+'Cell 5 603'!BR13</f>
        <v>900</v>
      </c>
      <c r="BO53" s="156">
        <f>+'Cell 5 603'!BS13</f>
        <v>804</v>
      </c>
      <c r="BP53" s="156">
        <f>+'Cell 5 603'!BT13</f>
        <v>840</v>
      </c>
      <c r="BQ53" s="156">
        <f>+'Cell 5 603'!BU13</f>
        <v>750</v>
      </c>
      <c r="BR53" s="156">
        <f>+'Cell 5 603'!BV13</f>
        <v>900</v>
      </c>
      <c r="BS53" s="156">
        <f>+'Cell 5 603'!BW13</f>
        <v>900</v>
      </c>
      <c r="BT53" s="156">
        <f>+'Cell 5 603'!BX13</f>
        <v>924</v>
      </c>
      <c r="BU53" s="156">
        <f>+'Cell 5 603'!BY13</f>
        <v>924</v>
      </c>
      <c r="BV53" s="156">
        <f>+'Cell 5 603'!BZ13</f>
        <v>840</v>
      </c>
      <c r="BW53" s="156">
        <f>+'Cell 5 603'!CA13</f>
        <v>804</v>
      </c>
      <c r="BX53" s="156">
        <f>+'Cell 5 603'!CB13</f>
        <v>900</v>
      </c>
      <c r="BY53" s="156">
        <f>+'Cell 5 603'!CC13</f>
        <v>980</v>
      </c>
      <c r="BZ53" s="153"/>
      <c r="CA53" s="154"/>
      <c r="CB53" s="154"/>
      <c r="CC53" s="153"/>
      <c r="CD53" s="153"/>
      <c r="CE53" s="153"/>
      <c r="CF53" s="153"/>
      <c r="CG53" s="153"/>
      <c r="CH53" s="153"/>
      <c r="CI53" s="154"/>
      <c r="CJ53" s="154"/>
      <c r="CK53" s="154"/>
      <c r="CL53" s="154"/>
      <c r="CM53" s="154"/>
      <c r="CN53" s="156"/>
      <c r="CO53" s="156"/>
      <c r="CP53" s="156"/>
      <c r="CQ53" s="156"/>
      <c r="CR53" s="156"/>
      <c r="CS53" s="156"/>
      <c r="CT53" s="156"/>
      <c r="CU53" s="156"/>
      <c r="CV53" s="156"/>
      <c r="CW53" s="156"/>
      <c r="CX53" s="156"/>
      <c r="CY53" s="156"/>
      <c r="CZ53" s="156"/>
      <c r="DA53" s="156"/>
      <c r="DB53" s="156"/>
      <c r="DC53" s="156"/>
      <c r="DD53" s="156"/>
      <c r="DE53" s="156"/>
      <c r="DF53" s="156"/>
      <c r="DG53" s="156"/>
      <c r="DH53" s="156"/>
      <c r="DI53" s="156"/>
      <c r="DJ53" s="156"/>
      <c r="DK53" s="156"/>
      <c r="DL53" s="156"/>
      <c r="DM53" s="156"/>
      <c r="DN53" s="156"/>
      <c r="DO53" s="156"/>
      <c r="DP53" s="156"/>
      <c r="DQ53" s="156"/>
      <c r="DR53" s="156"/>
      <c r="DS53" s="156"/>
      <c r="DT53" s="156"/>
      <c r="DU53" s="156"/>
      <c r="DV53" s="156"/>
      <c r="DW53" s="156"/>
      <c r="DX53" s="156"/>
      <c r="DY53" s="156"/>
      <c r="DZ53" s="156"/>
      <c r="EA53" s="156"/>
      <c r="EB53" s="156"/>
      <c r="EC53" s="156"/>
      <c r="ET53"/>
      <c r="EU53" s="171"/>
      <c r="EV53"/>
      <c r="EW53"/>
    </row>
    <row r="54" spans="1:153" ht="23.25" customHeight="1" x14ac:dyDescent="0.25">
      <c r="A54" s="54"/>
      <c r="B54" s="238"/>
      <c r="C54" s="240"/>
      <c r="D54" s="240"/>
      <c r="E54" s="240"/>
      <c r="F54" s="240"/>
      <c r="G54" s="135" t="s">
        <v>6</v>
      </c>
      <c r="H54" s="45">
        <f>H53/9</f>
        <v>14</v>
      </c>
      <c r="I54" s="45">
        <f>I53/9</f>
        <v>16.666666666666668</v>
      </c>
      <c r="J54" s="45">
        <f>J53/10</f>
        <v>14.4</v>
      </c>
      <c r="K54" s="45">
        <f>K53/9</f>
        <v>0</v>
      </c>
      <c r="L54" s="45">
        <f>+L53/9</f>
        <v>24.666666666666668</v>
      </c>
      <c r="M54" s="45">
        <f>+M53/9</f>
        <v>27.333333333333332</v>
      </c>
      <c r="N54" s="45">
        <f>N53/10</f>
        <v>21.6</v>
      </c>
      <c r="O54" s="45">
        <f>O53/10</f>
        <v>24.6</v>
      </c>
      <c r="P54" s="45">
        <f>P53/10</f>
        <v>24.6</v>
      </c>
      <c r="Q54" s="45">
        <f>Q53/10</f>
        <v>28.8</v>
      </c>
      <c r="R54" s="45">
        <f>SUM(R53:R53)/8</f>
        <v>42.75</v>
      </c>
      <c r="S54" s="45">
        <f>S53/8</f>
        <v>0</v>
      </c>
      <c r="T54" s="45">
        <f>T53/8</f>
        <v>0</v>
      </c>
      <c r="U54" s="45">
        <f>U53/8</f>
        <v>0</v>
      </c>
      <c r="V54" s="45">
        <f>V53/8</f>
        <v>0</v>
      </c>
      <c r="W54" s="45">
        <f>W53/8</f>
        <v>0</v>
      </c>
      <c r="X54" s="45">
        <f t="shared" ref="X54:AC54" si="88">SUM(X53:X53)/8</f>
        <v>0</v>
      </c>
      <c r="Y54" s="45">
        <f t="shared" si="88"/>
        <v>0</v>
      </c>
      <c r="Z54" s="45">
        <f t="shared" si="88"/>
        <v>0</v>
      </c>
      <c r="AA54" s="45">
        <f t="shared" si="88"/>
        <v>0</v>
      </c>
      <c r="AB54" s="45">
        <f t="shared" si="88"/>
        <v>0</v>
      </c>
      <c r="AC54" s="45">
        <f t="shared" si="88"/>
        <v>0</v>
      </c>
      <c r="AD54" s="45">
        <f>AD53/9</f>
        <v>0</v>
      </c>
      <c r="AE54" s="45">
        <f>AE53/9</f>
        <v>58.666666666666664</v>
      </c>
      <c r="AF54" s="45">
        <f>AF53/9</f>
        <v>62.888888888888886</v>
      </c>
      <c r="AG54" s="45">
        <f>AG53/10</f>
        <v>46.7</v>
      </c>
      <c r="AH54" s="45">
        <f>AH53/9</f>
        <v>49.111111111111114</v>
      </c>
      <c r="AI54" s="45">
        <f>+AI53/9</f>
        <v>49.888888888888886</v>
      </c>
      <c r="AJ54" s="45">
        <f>+AJ53/9</f>
        <v>64.777777777777771</v>
      </c>
      <c r="AK54" s="45">
        <f>AK53/9</f>
        <v>76.888888888888886</v>
      </c>
      <c r="AL54" s="45">
        <f>AL53/9</f>
        <v>79.333333333333329</v>
      </c>
      <c r="AM54" s="45">
        <f>AM53/9</f>
        <v>86</v>
      </c>
      <c r="AN54" s="45">
        <f>AN53/9</f>
        <v>88.666666666666671</v>
      </c>
      <c r="AO54" s="45">
        <f>+'Cell 5 603'!AS14</f>
        <v>84</v>
      </c>
      <c r="AP54" s="45">
        <f>+'Cell 5 603'!AT14</f>
        <v>70.2</v>
      </c>
      <c r="AQ54" s="45">
        <f>+'Cell 5 603'!AU14</f>
        <v>70.2</v>
      </c>
      <c r="AR54" s="45">
        <f>+'Cell 5 603'!AV14</f>
        <v>70.2</v>
      </c>
      <c r="AS54" s="45">
        <f>+'Cell 5 603'!AW14</f>
        <v>63</v>
      </c>
      <c r="AT54" s="45">
        <f>+'Cell 5 603'!AX14</f>
        <v>80.400000000000006</v>
      </c>
      <c r="AU54" s="45">
        <f>+'Cell 5 603'!AY14</f>
        <v>72.599999999999994</v>
      </c>
      <c r="AV54" s="45">
        <f>+'Cell 5 603'!AZ14</f>
        <v>45</v>
      </c>
      <c r="AW54" s="45">
        <f>+'Cell 5 603'!BA14</f>
        <v>50.4</v>
      </c>
      <c r="AX54" s="45">
        <f>+'Cell 5 603'!BB14</f>
        <v>50.4</v>
      </c>
      <c r="AY54" s="45">
        <f>+'Cell 5 603'!BC14</f>
        <v>60</v>
      </c>
      <c r="AZ54" s="45">
        <f>+'Cell 5 603'!BD14</f>
        <v>72</v>
      </c>
      <c r="BA54" s="45">
        <f>+'Cell 5 603'!BE14</f>
        <v>60</v>
      </c>
      <c r="BB54" s="45">
        <f>+'Cell 5 603'!BF14</f>
        <v>50.4</v>
      </c>
      <c r="BC54" s="45">
        <f>+'Cell 5 603'!BG14</f>
        <v>70.2</v>
      </c>
      <c r="BD54" s="45">
        <f>+'Cell 5 603'!BH14</f>
        <v>75.599999999999994</v>
      </c>
      <c r="BE54" s="45">
        <f>+'Cell 5 603'!BI14</f>
        <v>84</v>
      </c>
      <c r="BF54" s="45">
        <f>+'Cell 5 603'!BJ14</f>
        <v>73</v>
      </c>
      <c r="BG54" s="45">
        <f>+'Cell 5 603'!BK14</f>
        <v>67</v>
      </c>
      <c r="BH54" s="45">
        <f>+'Cell 5 603'!BL14</f>
        <v>78.909090909090907</v>
      </c>
      <c r="BI54" s="45">
        <f>+'Cell 5 603'!BM14</f>
        <v>73.090909090909093</v>
      </c>
      <c r="BJ54" s="45">
        <f>+'Cell 5 603'!BN14</f>
        <v>81.818181818181813</v>
      </c>
      <c r="BK54" s="45">
        <f>+'Cell 5 603'!BO14</f>
        <v>82.909090909090907</v>
      </c>
      <c r="BL54" s="45">
        <f>+'Cell 5 603'!BP14</f>
        <v>81.818181818181813</v>
      </c>
      <c r="BM54" s="45">
        <f>+'Cell 5 603'!BQ14</f>
        <v>67</v>
      </c>
      <c r="BN54" s="45">
        <f>+'Cell 5 603'!BR14</f>
        <v>75</v>
      </c>
      <c r="BO54" s="45">
        <f>+'Cell 5 603'!BS14</f>
        <v>67</v>
      </c>
      <c r="BP54" s="45">
        <f>+'Cell 5 603'!BT14</f>
        <v>70</v>
      </c>
      <c r="BQ54" s="45">
        <f>+'Cell 5 603'!BU14</f>
        <v>75</v>
      </c>
      <c r="BR54" s="45">
        <f>+'Cell 5 603'!BV14</f>
        <v>75</v>
      </c>
      <c r="BS54" s="45">
        <f>+'Cell 5 603'!BW14</f>
        <v>75</v>
      </c>
      <c r="BT54" s="45">
        <f>+'Cell 5 603'!BX14</f>
        <v>77</v>
      </c>
      <c r="BU54" s="45">
        <f>+'Cell 5 603'!BY14</f>
        <v>77</v>
      </c>
      <c r="BV54" s="45">
        <f>+'Cell 5 603'!BZ14</f>
        <v>70</v>
      </c>
      <c r="BW54" s="45">
        <f>+'Cell 5 603'!CA14</f>
        <v>67</v>
      </c>
      <c r="BX54" s="45">
        <f>+'Cell 5 603'!CB14</f>
        <v>75</v>
      </c>
      <c r="BY54" s="45">
        <f>+'Cell 5 603'!CC14</f>
        <v>81.666666666666671</v>
      </c>
      <c r="BZ54" s="45"/>
      <c r="CA54" s="45"/>
      <c r="CB54" s="45"/>
      <c r="CC54" s="45"/>
      <c r="CD54" s="45"/>
      <c r="CE54" s="45"/>
      <c r="CF54" s="45"/>
      <c r="CG54" s="45"/>
      <c r="CH54" s="45"/>
      <c r="CI54" s="45"/>
      <c r="CJ54" s="45"/>
      <c r="CK54" s="45"/>
      <c r="CL54" s="45"/>
      <c r="CM54" s="45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  <c r="DQ54" s="45"/>
      <c r="DR54" s="45"/>
      <c r="DS54" s="45"/>
      <c r="DT54" s="45"/>
      <c r="DU54" s="45"/>
      <c r="DV54" s="45"/>
      <c r="DW54" s="45"/>
      <c r="DX54" s="45"/>
      <c r="DY54" s="45"/>
      <c r="DZ54" s="45"/>
      <c r="EA54" s="45"/>
      <c r="EB54" s="45"/>
      <c r="EC54" s="45"/>
      <c r="EU54" s="171"/>
    </row>
    <row r="55" spans="1:153" s="12" customFormat="1" ht="23.25" customHeight="1" x14ac:dyDescent="0.25">
      <c r="A55" s="55"/>
      <c r="B55" s="238" t="s">
        <v>35</v>
      </c>
      <c r="C55" s="239" t="s">
        <v>85</v>
      </c>
      <c r="D55" s="239">
        <v>29</v>
      </c>
      <c r="E55" s="239">
        <v>28</v>
      </c>
      <c r="F55" s="239">
        <f t="shared" ref="F55" si="89">+E55-D55</f>
        <v>-1</v>
      </c>
      <c r="G55" s="135" t="str">
        <f>G53</f>
        <v>Output/Day</v>
      </c>
      <c r="H55" s="144">
        <v>126</v>
      </c>
      <c r="I55" s="144">
        <v>150</v>
      </c>
      <c r="J55" s="144">
        <v>144</v>
      </c>
      <c r="K55" s="153"/>
      <c r="L55" s="144">
        <v>222</v>
      </c>
      <c r="M55" s="144">
        <v>246</v>
      </c>
      <c r="N55" s="144">
        <v>216</v>
      </c>
      <c r="O55" s="144">
        <v>246</v>
      </c>
      <c r="P55" s="144">
        <v>246</v>
      </c>
      <c r="Q55" s="144">
        <v>288</v>
      </c>
      <c r="R55" s="144">
        <v>342</v>
      </c>
      <c r="S55" s="154"/>
      <c r="T55" s="154"/>
      <c r="U55" s="153"/>
      <c r="V55" s="153"/>
      <c r="W55" s="153"/>
      <c r="X55" s="153"/>
      <c r="Y55" s="153"/>
      <c r="Z55" s="154"/>
      <c r="AA55" s="153"/>
      <c r="AB55" s="154"/>
      <c r="AC55" s="154"/>
      <c r="AD55" s="153"/>
      <c r="AE55" s="153">
        <v>528</v>
      </c>
      <c r="AF55" s="153">
        <v>566</v>
      </c>
      <c r="AG55" s="153">
        <v>467</v>
      </c>
      <c r="AH55" s="153">
        <v>442</v>
      </c>
      <c r="AI55" s="153">
        <v>449</v>
      </c>
      <c r="AJ55" s="154">
        <v>583</v>
      </c>
      <c r="AK55" s="154">
        <v>692</v>
      </c>
      <c r="AL55" s="154">
        <v>714</v>
      </c>
      <c r="AM55" s="154">
        <v>774</v>
      </c>
      <c r="AN55" s="154">
        <v>798</v>
      </c>
      <c r="AO55" s="156">
        <v>0</v>
      </c>
      <c r="AP55" s="156">
        <f>+'Cell 11 603'!F9</f>
        <v>0</v>
      </c>
      <c r="AQ55" s="156">
        <f>+'Cell 11 603'!G9</f>
        <v>0</v>
      </c>
      <c r="AR55" s="156">
        <f>+'Cell 11 603'!H9</f>
        <v>0</v>
      </c>
      <c r="AS55" s="156">
        <f>+'Cell 11 603'!I9</f>
        <v>0</v>
      </c>
      <c r="AT55" s="156">
        <f>+'Cell 11 603'!J9</f>
        <v>0</v>
      </c>
      <c r="AU55" s="156">
        <f>+'Cell 11 603'!K9</f>
        <v>0</v>
      </c>
      <c r="AV55" s="156">
        <f>+'Cell 11 603'!L9</f>
        <v>0</v>
      </c>
      <c r="AW55" s="156">
        <f>+'Cell 11 603'!M9</f>
        <v>0</v>
      </c>
      <c r="AX55" s="156">
        <f>+'Cell 11 603'!N9</f>
        <v>0</v>
      </c>
      <c r="AY55" s="156">
        <f>+'Cell 11 603'!O9</f>
        <v>0</v>
      </c>
      <c r="AZ55" s="156">
        <f>+'Cell 11 603'!P9</f>
        <v>0</v>
      </c>
      <c r="BA55" s="156">
        <f>+'Cell 11 603'!Q9</f>
        <v>0</v>
      </c>
      <c r="BB55" s="156">
        <f>+'Cell 11 603'!R9</f>
        <v>0</v>
      </c>
      <c r="BC55" s="156">
        <f>+'Cell 11 603'!S9</f>
        <v>774</v>
      </c>
      <c r="BD55" s="156">
        <f>+'Cell 11 603'!T9</f>
        <v>864</v>
      </c>
      <c r="BE55" s="156">
        <f>+'Cell 11 603'!U9</f>
        <v>1080</v>
      </c>
      <c r="BF55" s="156"/>
      <c r="BG55" s="144"/>
      <c r="BH55" s="144"/>
      <c r="BI55" s="144"/>
      <c r="BJ55" s="153"/>
      <c r="BK55" s="153"/>
      <c r="BL55" s="153"/>
      <c r="BM55" s="153"/>
      <c r="BN55" s="153">
        <f>+'Cell 9 603'!J13</f>
        <v>840</v>
      </c>
      <c r="BO55" s="153">
        <f>+'Cell 9 603'!K13</f>
        <v>113</v>
      </c>
      <c r="BP55" s="153">
        <f>+'Cell 9 603'!L13</f>
        <v>161</v>
      </c>
      <c r="BQ55" s="153">
        <f>+'Cell 9 603'!M13</f>
        <v>0</v>
      </c>
      <c r="BR55" s="153">
        <f>+'Cell 9 603'!N13</f>
        <v>270</v>
      </c>
      <c r="BS55" s="153">
        <f>+'Cell 9 603'!O13</f>
        <v>272</v>
      </c>
      <c r="BT55" s="153">
        <f>+'Cell 9 603'!P13</f>
        <v>281</v>
      </c>
      <c r="BU55" s="153">
        <f>+'Cell 9 603'!Q13</f>
        <v>270</v>
      </c>
      <c r="BV55" s="153">
        <f>+'Cell 9 603'!R13</f>
        <v>324</v>
      </c>
      <c r="BW55" s="153">
        <f>+'Cell 9 603'!S13</f>
        <v>360</v>
      </c>
      <c r="BX55" s="153">
        <f>+'Cell 9 603'!T13</f>
        <v>372</v>
      </c>
      <c r="BY55" s="153">
        <f>+'Cell 9 603'!U13</f>
        <v>336</v>
      </c>
      <c r="BZ55" s="153"/>
      <c r="CA55" s="154"/>
      <c r="CB55" s="154"/>
      <c r="CC55" s="153"/>
      <c r="CD55" s="153"/>
      <c r="CE55" s="153"/>
      <c r="CF55" s="153"/>
      <c r="CG55" s="153"/>
      <c r="CH55" s="153"/>
      <c r="CI55" s="154"/>
      <c r="CJ55" s="154"/>
      <c r="CK55" s="154"/>
      <c r="CL55" s="154"/>
      <c r="CM55" s="154"/>
      <c r="CN55" s="156"/>
      <c r="CO55" s="156"/>
      <c r="CP55" s="156"/>
      <c r="CQ55" s="156"/>
      <c r="CR55" s="156"/>
      <c r="CS55" s="156"/>
      <c r="CT55" s="156"/>
      <c r="CU55" s="156"/>
      <c r="CV55" s="156"/>
      <c r="CW55" s="156"/>
      <c r="CX55" s="156"/>
      <c r="CY55" s="156"/>
      <c r="CZ55" s="156"/>
      <c r="DA55" s="156"/>
      <c r="DB55" s="156"/>
      <c r="DC55" s="156"/>
      <c r="DD55" s="156"/>
      <c r="DE55" s="156"/>
      <c r="DF55" s="156"/>
      <c r="DG55" s="156"/>
      <c r="DH55" s="156"/>
      <c r="DI55" s="156"/>
      <c r="DJ55" s="156"/>
      <c r="DK55" s="156"/>
      <c r="DL55" s="156"/>
      <c r="DM55" s="156"/>
      <c r="DN55" s="156"/>
      <c r="DO55" s="156"/>
      <c r="DP55" s="156"/>
      <c r="DQ55" s="156"/>
      <c r="DR55" s="156"/>
      <c r="DS55" s="156"/>
      <c r="DT55" s="156"/>
      <c r="DU55" s="156"/>
      <c r="DV55" s="156"/>
      <c r="DW55" s="156"/>
      <c r="DX55" s="156"/>
      <c r="DY55" s="156"/>
      <c r="DZ55" s="156"/>
      <c r="EA55" s="156"/>
      <c r="EB55" s="156"/>
      <c r="EC55" s="156"/>
      <c r="ET55"/>
      <c r="EU55" s="171"/>
      <c r="EV55"/>
      <c r="EW55"/>
    </row>
    <row r="56" spans="1:153" ht="23.25" customHeight="1" x14ac:dyDescent="0.25">
      <c r="A56" s="54"/>
      <c r="B56" s="238"/>
      <c r="C56" s="240"/>
      <c r="D56" s="240"/>
      <c r="E56" s="240"/>
      <c r="F56" s="240"/>
      <c r="G56" s="135" t="s">
        <v>6</v>
      </c>
      <c r="H56" s="45">
        <f>H55/9</f>
        <v>14</v>
      </c>
      <c r="I56" s="45">
        <f>I55/9</f>
        <v>16.666666666666668</v>
      </c>
      <c r="J56" s="45">
        <f>J55/10</f>
        <v>14.4</v>
      </c>
      <c r="K56" s="45">
        <f>K55/9</f>
        <v>0</v>
      </c>
      <c r="L56" s="45">
        <f>+L55/9</f>
        <v>24.666666666666668</v>
      </c>
      <c r="M56" s="45">
        <f>+M55/9</f>
        <v>27.333333333333332</v>
      </c>
      <c r="N56" s="45">
        <f>N55/10</f>
        <v>21.6</v>
      </c>
      <c r="O56" s="45">
        <f>O55/10</f>
        <v>24.6</v>
      </c>
      <c r="P56" s="45">
        <f>P55/10</f>
        <v>24.6</v>
      </c>
      <c r="Q56" s="45">
        <f>Q55/10</f>
        <v>28.8</v>
      </c>
      <c r="R56" s="45">
        <f>SUM(R55:R55)/8</f>
        <v>42.75</v>
      </c>
      <c r="S56" s="45">
        <f>S55/8</f>
        <v>0</v>
      </c>
      <c r="T56" s="45">
        <f>T55/8</f>
        <v>0</v>
      </c>
      <c r="U56" s="45">
        <f>U55/8</f>
        <v>0</v>
      </c>
      <c r="V56" s="45">
        <f>V55/8</f>
        <v>0</v>
      </c>
      <c r="W56" s="45">
        <f>W55/8</f>
        <v>0</v>
      </c>
      <c r="X56" s="45">
        <f t="shared" ref="X56:AC56" si="90">SUM(X55:X55)/8</f>
        <v>0</v>
      </c>
      <c r="Y56" s="45">
        <f t="shared" si="90"/>
        <v>0</v>
      </c>
      <c r="Z56" s="45">
        <f t="shared" si="90"/>
        <v>0</v>
      </c>
      <c r="AA56" s="45">
        <f t="shared" si="90"/>
        <v>0</v>
      </c>
      <c r="AB56" s="45">
        <f t="shared" si="90"/>
        <v>0</v>
      </c>
      <c r="AC56" s="45">
        <f t="shared" si="90"/>
        <v>0</v>
      </c>
      <c r="AD56" s="45">
        <f>AD55/9</f>
        <v>0</v>
      </c>
      <c r="AE56" s="45">
        <f>AE55/9</f>
        <v>58.666666666666664</v>
      </c>
      <c r="AF56" s="45">
        <f>AF55/9</f>
        <v>62.888888888888886</v>
      </c>
      <c r="AG56" s="45">
        <f>AG55/10</f>
        <v>46.7</v>
      </c>
      <c r="AH56" s="45">
        <f>AH55/9</f>
        <v>49.111111111111114</v>
      </c>
      <c r="AI56" s="45">
        <f>+AI55/9</f>
        <v>49.888888888888886</v>
      </c>
      <c r="AJ56" s="45">
        <f>+AJ55/9</f>
        <v>64.777777777777771</v>
      </c>
      <c r="AK56" s="45">
        <f>AK55/9</f>
        <v>76.888888888888886</v>
      </c>
      <c r="AL56" s="45">
        <f>AL55/9</f>
        <v>79.333333333333329</v>
      </c>
      <c r="AM56" s="45">
        <f>AM55/9</f>
        <v>86</v>
      </c>
      <c r="AN56" s="45">
        <f>AN55/9</f>
        <v>88.666666666666671</v>
      </c>
      <c r="AO56" s="45">
        <v>0</v>
      </c>
      <c r="AP56" s="45">
        <f>+'Cell 11 603'!F10</f>
        <v>0</v>
      </c>
      <c r="AQ56" s="45">
        <f>+'Cell 11 603'!G10</f>
        <v>0</v>
      </c>
      <c r="AR56" s="45">
        <f>+'Cell 11 603'!H10</f>
        <v>0</v>
      </c>
      <c r="AS56" s="45">
        <f>+'Cell 11 603'!I10</f>
        <v>0</v>
      </c>
      <c r="AT56" s="45">
        <f>+'Cell 11 603'!J10</f>
        <v>0</v>
      </c>
      <c r="AU56" s="45">
        <f>+'Cell 11 603'!K10</f>
        <v>0</v>
      </c>
      <c r="AV56" s="45">
        <f>+'Cell 11 603'!L10</f>
        <v>0</v>
      </c>
      <c r="AW56" s="45">
        <f>+'Cell 11 603'!M10</f>
        <v>0</v>
      </c>
      <c r="AX56" s="45">
        <f>+'Cell 11 603'!N10</f>
        <v>0</v>
      </c>
      <c r="AY56" s="45">
        <f>+'Cell 11 603'!O10</f>
        <v>0</v>
      </c>
      <c r="AZ56" s="45">
        <f>+'Cell 11 603'!P10</f>
        <v>0</v>
      </c>
      <c r="BA56" s="45">
        <f>+'Cell 11 603'!Q10</f>
        <v>0</v>
      </c>
      <c r="BB56" s="45">
        <f>+'Cell 11 603'!R10</f>
        <v>0</v>
      </c>
      <c r="BC56" s="45">
        <f>+'Cell 11 603'!S10</f>
        <v>77.400000000000006</v>
      </c>
      <c r="BD56" s="45">
        <f>+'Cell 11 603'!T10</f>
        <v>86.4</v>
      </c>
      <c r="BE56" s="45">
        <f>+'Cell 11 603'!U10</f>
        <v>108</v>
      </c>
      <c r="BF56" s="45"/>
      <c r="BG56" s="45"/>
      <c r="BH56" s="45"/>
      <c r="BI56" s="45"/>
      <c r="BJ56" s="45"/>
      <c r="BK56" s="45"/>
      <c r="BL56" s="45"/>
      <c r="BM56" s="45"/>
      <c r="BN56" s="45">
        <f>+'Cell 9 603'!J14</f>
        <v>105</v>
      </c>
      <c r="BO56" s="45">
        <f>+'Cell 9 603'!K14</f>
        <v>14.125</v>
      </c>
      <c r="BP56" s="45">
        <f>+'Cell 9 603'!L14</f>
        <v>20.125</v>
      </c>
      <c r="BQ56" s="45">
        <f>+'Cell 9 603'!M14</f>
        <v>0</v>
      </c>
      <c r="BR56" s="45">
        <f>+'Cell 9 603'!N14</f>
        <v>33.75</v>
      </c>
      <c r="BS56" s="45">
        <f>+'Cell 9 603'!O14</f>
        <v>34</v>
      </c>
      <c r="BT56" s="45">
        <f>+'Cell 9 603'!P14</f>
        <v>31.222222222222221</v>
      </c>
      <c r="BU56" s="45">
        <f>+'Cell 9 603'!Q14</f>
        <v>30</v>
      </c>
      <c r="BV56" s="45">
        <f>+'Cell 9 603'!R14</f>
        <v>40.5</v>
      </c>
      <c r="BW56" s="45">
        <f>+'Cell 9 603'!S14</f>
        <v>45</v>
      </c>
      <c r="BX56" s="45">
        <f>+'Cell 9 603'!T14</f>
        <v>41.333333333333336</v>
      </c>
      <c r="BY56" s="45">
        <f>+'Cell 9 603'!U14</f>
        <v>37.333333333333336</v>
      </c>
      <c r="BZ56" s="45"/>
      <c r="CA56" s="45"/>
      <c r="CB56" s="45"/>
      <c r="CC56" s="45"/>
      <c r="CD56" s="45"/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U56" s="171"/>
    </row>
    <row r="57" spans="1:153" s="12" customFormat="1" ht="23.25" customHeight="1" x14ac:dyDescent="0.25">
      <c r="A57" s="55"/>
      <c r="B57" s="238" t="s">
        <v>20</v>
      </c>
      <c r="C57" s="239" t="s">
        <v>83</v>
      </c>
      <c r="D57" s="239">
        <v>29</v>
      </c>
      <c r="E57" s="239">
        <v>26</v>
      </c>
      <c r="F57" s="239">
        <f t="shared" ref="F57" si="91">+E57-D57</f>
        <v>-3</v>
      </c>
      <c r="G57" s="135" t="str">
        <f>G51</f>
        <v>Output/Day</v>
      </c>
      <c r="H57" s="144">
        <v>72</v>
      </c>
      <c r="I57" s="144">
        <v>126</v>
      </c>
      <c r="J57" s="144">
        <v>150</v>
      </c>
      <c r="K57" s="153"/>
      <c r="L57" s="144">
        <v>107</v>
      </c>
      <c r="M57" s="144">
        <v>270</v>
      </c>
      <c r="N57" s="144">
        <v>180</v>
      </c>
      <c r="O57" s="144">
        <v>246</v>
      </c>
      <c r="P57" s="144">
        <v>342</v>
      </c>
      <c r="Q57" s="144">
        <v>402</v>
      </c>
      <c r="R57" s="144">
        <v>420</v>
      </c>
      <c r="S57" s="154"/>
      <c r="T57" s="154"/>
      <c r="U57" s="153"/>
      <c r="V57" s="153"/>
      <c r="W57" s="153"/>
      <c r="X57" s="153"/>
      <c r="Y57" s="153"/>
      <c r="Z57" s="154"/>
      <c r="AA57" s="153"/>
      <c r="AB57" s="154"/>
      <c r="AC57" s="154"/>
      <c r="AD57" s="153"/>
      <c r="AE57" s="153">
        <v>541</v>
      </c>
      <c r="AF57" s="153">
        <v>600</v>
      </c>
      <c r="AG57" s="153">
        <v>504</v>
      </c>
      <c r="AH57" s="153">
        <v>722</v>
      </c>
      <c r="AI57" s="153">
        <v>504</v>
      </c>
      <c r="AJ57" s="154">
        <v>540</v>
      </c>
      <c r="AK57" s="154">
        <v>612</v>
      </c>
      <c r="AL57" s="154">
        <v>703</v>
      </c>
      <c r="AM57" s="154">
        <v>774</v>
      </c>
      <c r="AN57" s="154">
        <v>800</v>
      </c>
      <c r="AO57" s="156">
        <f>+'Cell 10 603'!AI13</f>
        <v>804</v>
      </c>
      <c r="AP57" s="156">
        <f>+'Cell 10 603'!AJ13</f>
        <v>674</v>
      </c>
      <c r="AQ57" s="156">
        <f>+'Cell 10 603'!AK13</f>
        <v>702</v>
      </c>
      <c r="AR57" s="156">
        <f>+'Cell 10 603'!AL13</f>
        <v>702</v>
      </c>
      <c r="AS57" s="156">
        <f>+'Cell 10 603'!AM13</f>
        <v>660</v>
      </c>
      <c r="AT57" s="156">
        <f>+'Cell 10 603'!AN13</f>
        <v>660</v>
      </c>
      <c r="AU57" s="156">
        <f>+'Cell 10 603'!AO13</f>
        <v>600</v>
      </c>
      <c r="AV57" s="156">
        <f>+'Cell 10 603'!AP13</f>
        <v>504</v>
      </c>
      <c r="AW57" s="156">
        <f>+'Cell 10 603'!AQ13</f>
        <v>607</v>
      </c>
      <c r="AX57" s="156">
        <f>+'Cell 10 603'!AR13</f>
        <v>504</v>
      </c>
      <c r="AY57" s="156">
        <f>+'Cell 10 603'!AS13</f>
        <v>702</v>
      </c>
      <c r="AZ57" s="156">
        <f>+'Cell 10 603'!AT13</f>
        <v>786</v>
      </c>
      <c r="BA57" s="156">
        <f>+'Cell 10 603'!AU13</f>
        <v>702</v>
      </c>
      <c r="BB57" s="156">
        <f>+'Cell 10 603'!AV13</f>
        <v>630</v>
      </c>
      <c r="BC57" s="156">
        <f>+'Cell 10 603'!AW13</f>
        <v>708</v>
      </c>
      <c r="BD57" s="156">
        <f>+'Cell 10 603'!AX13</f>
        <v>768</v>
      </c>
      <c r="BE57" s="156">
        <f>+'Cell 10 603'!AY13</f>
        <v>852</v>
      </c>
      <c r="BF57" s="156">
        <f>+'Cell 10 603'!AZ13</f>
        <v>852</v>
      </c>
      <c r="BG57" s="156">
        <f>+'Cell 10 603'!BA13</f>
        <v>900</v>
      </c>
      <c r="BH57" s="156">
        <f>+'Cell 10 603'!BB13</f>
        <v>900</v>
      </c>
      <c r="BI57" s="156">
        <f>+'Cell 10 603'!BC13</f>
        <v>900</v>
      </c>
      <c r="BJ57" s="156">
        <f>+'Cell 10 603'!BD13</f>
        <v>840</v>
      </c>
      <c r="BK57" s="156">
        <f>+'Cell 10 603'!BE13</f>
        <v>864</v>
      </c>
      <c r="BL57" s="156">
        <f>+'Cell 10 603'!BF13</f>
        <v>880</v>
      </c>
      <c r="BM57" s="156">
        <f>+'Cell 10 603'!BG13</f>
        <v>840</v>
      </c>
      <c r="BN57" s="156">
        <f>+'Cell 10 603'!BH13</f>
        <v>852</v>
      </c>
      <c r="BO57" s="156">
        <f>+'Cell 10 603'!BI13</f>
        <v>900</v>
      </c>
      <c r="BP57" s="156">
        <f>+'Cell 10 603'!BJ13</f>
        <v>900</v>
      </c>
      <c r="BQ57" s="156">
        <f>+'Cell 10 603'!BK13</f>
        <v>804</v>
      </c>
      <c r="BR57" s="156">
        <f>+'Cell 10 603'!BL13</f>
        <v>900</v>
      </c>
      <c r="BS57" s="156">
        <f>+'Cell 10 603'!BM13</f>
        <v>900</v>
      </c>
      <c r="BT57" s="156">
        <f>+'Cell 10 603'!BN13</f>
        <v>864</v>
      </c>
      <c r="BU57" s="156">
        <f>+'Cell 10 603'!BO13</f>
        <v>840</v>
      </c>
      <c r="BV57" s="156">
        <f>+'Cell 10 603'!BP13</f>
        <v>840</v>
      </c>
      <c r="BW57" s="156">
        <f>+'Cell 10 603'!BQ13</f>
        <v>864</v>
      </c>
      <c r="BX57" s="156">
        <f>+'Cell 10 603'!BR13</f>
        <v>900</v>
      </c>
      <c r="BY57" s="156">
        <f>+'Cell 10 603'!BS13</f>
        <v>960</v>
      </c>
      <c r="BZ57" s="153"/>
      <c r="CA57" s="154"/>
      <c r="CB57" s="154"/>
      <c r="CC57" s="153"/>
      <c r="CD57" s="153"/>
      <c r="CE57" s="153"/>
      <c r="CF57" s="153"/>
      <c r="CG57" s="153"/>
      <c r="CH57" s="153"/>
      <c r="CI57" s="154"/>
      <c r="CJ57" s="154"/>
      <c r="CK57" s="154"/>
      <c r="CL57" s="154"/>
      <c r="CM57" s="154"/>
      <c r="CN57" s="156"/>
      <c r="CO57" s="156"/>
      <c r="CP57" s="156"/>
      <c r="CQ57" s="156"/>
      <c r="CR57" s="156"/>
      <c r="CS57" s="156"/>
      <c r="CT57" s="156"/>
      <c r="CU57" s="156"/>
      <c r="CV57" s="156"/>
      <c r="CW57" s="156"/>
      <c r="CX57" s="156"/>
      <c r="CY57" s="156"/>
      <c r="CZ57" s="156"/>
      <c r="DA57" s="156"/>
      <c r="DB57" s="156"/>
      <c r="DC57" s="156"/>
      <c r="DD57" s="156"/>
      <c r="DE57" s="156"/>
      <c r="DF57" s="156"/>
      <c r="DG57" s="156"/>
      <c r="DH57" s="156"/>
      <c r="DI57" s="156"/>
      <c r="DJ57" s="156"/>
      <c r="DK57" s="156"/>
      <c r="DL57" s="156"/>
      <c r="DM57" s="156"/>
      <c r="DN57" s="156"/>
      <c r="DO57" s="156"/>
      <c r="DP57" s="156"/>
      <c r="DQ57" s="156"/>
      <c r="DR57" s="156"/>
      <c r="DS57" s="156"/>
      <c r="DT57" s="156"/>
      <c r="DU57" s="156"/>
      <c r="DV57" s="156"/>
      <c r="DW57" s="156"/>
      <c r="DX57" s="156"/>
      <c r="DY57" s="156"/>
      <c r="DZ57" s="156"/>
      <c r="EA57" s="156"/>
      <c r="EB57" s="156"/>
      <c r="EC57" s="156"/>
      <c r="ET57"/>
      <c r="EU57" s="171"/>
      <c r="EV57"/>
      <c r="EW57"/>
    </row>
    <row r="58" spans="1:153" ht="23.25" customHeight="1" x14ac:dyDescent="0.25">
      <c r="A58" s="54"/>
      <c r="B58" s="238"/>
      <c r="C58" s="240"/>
      <c r="D58" s="240"/>
      <c r="E58" s="240"/>
      <c r="F58" s="240"/>
      <c r="G58" s="135" t="s">
        <v>6</v>
      </c>
      <c r="H58" s="45">
        <f>H57/9</f>
        <v>8</v>
      </c>
      <c r="I58" s="45">
        <f>I57/9</f>
        <v>14</v>
      </c>
      <c r="J58" s="45">
        <f>J57/9</f>
        <v>16.666666666666668</v>
      </c>
      <c r="K58" s="45">
        <f>K57/9</f>
        <v>0</v>
      </c>
      <c r="L58" s="45">
        <f>+L57/9</f>
        <v>11.888888888888889</v>
      </c>
      <c r="M58" s="45">
        <f>+M57/9</f>
        <v>30</v>
      </c>
      <c r="N58" s="45">
        <f>N57/9</f>
        <v>20</v>
      </c>
      <c r="O58" s="45">
        <f>O57/9</f>
        <v>27.333333333333332</v>
      </c>
      <c r="P58" s="45">
        <f>P57/9</f>
        <v>38</v>
      </c>
      <c r="Q58" s="45">
        <f>Q57/9</f>
        <v>44.666666666666664</v>
      </c>
      <c r="R58" s="45">
        <f>SUM(R57:R57)/8</f>
        <v>52.5</v>
      </c>
      <c r="S58" s="45">
        <f>S57/8</f>
        <v>0</v>
      </c>
      <c r="T58" s="45">
        <f>T57/8</f>
        <v>0</v>
      </c>
      <c r="U58" s="45">
        <f>U57/8</f>
        <v>0</v>
      </c>
      <c r="V58" s="45">
        <f>V57/8</f>
        <v>0</v>
      </c>
      <c r="W58" s="45">
        <f>W57/8</f>
        <v>0</v>
      </c>
      <c r="X58" s="45">
        <f t="shared" ref="X58:AC58" si="92">SUM(X57:X57)/8</f>
        <v>0</v>
      </c>
      <c r="Y58" s="45">
        <f t="shared" si="92"/>
        <v>0</v>
      </c>
      <c r="Z58" s="45">
        <f t="shared" si="92"/>
        <v>0</v>
      </c>
      <c r="AA58" s="45">
        <f t="shared" si="92"/>
        <v>0</v>
      </c>
      <c r="AB58" s="45">
        <f t="shared" si="92"/>
        <v>0</v>
      </c>
      <c r="AC58" s="45">
        <f t="shared" si="92"/>
        <v>0</v>
      </c>
      <c r="AD58" s="45">
        <f>AD57/9</f>
        <v>0</v>
      </c>
      <c r="AE58" s="45">
        <f>AE57/9</f>
        <v>60.111111111111114</v>
      </c>
      <c r="AF58" s="45">
        <f>AF57/9</f>
        <v>66.666666666666671</v>
      </c>
      <c r="AG58" s="45">
        <f>AG57/9</f>
        <v>56</v>
      </c>
      <c r="AH58" s="45">
        <f>AH57/9</f>
        <v>80.222222222222229</v>
      </c>
      <c r="AI58" s="45">
        <f>+AI57/9</f>
        <v>56</v>
      </c>
      <c r="AJ58" s="45">
        <f>+AJ57/9</f>
        <v>60</v>
      </c>
      <c r="AK58" s="45">
        <f>AK57/9</f>
        <v>68</v>
      </c>
      <c r="AL58" s="45">
        <f>AL57/9</f>
        <v>78.111111111111114</v>
      </c>
      <c r="AM58" s="45">
        <f>AM57/9</f>
        <v>86</v>
      </c>
      <c r="AN58" s="45">
        <f>AN57/9</f>
        <v>88.888888888888886</v>
      </c>
      <c r="AO58" s="45">
        <f>+'Cell 10 603'!AI14</f>
        <v>80.400000000000006</v>
      </c>
      <c r="AP58" s="45">
        <f>+'Cell 10 603'!AJ14</f>
        <v>67.400000000000006</v>
      </c>
      <c r="AQ58" s="45">
        <f>+'Cell 10 603'!AK14</f>
        <v>70.2</v>
      </c>
      <c r="AR58" s="45">
        <f>+'Cell 10 603'!AL14</f>
        <v>70.2</v>
      </c>
      <c r="AS58" s="45">
        <f>+'Cell 10 603'!AM14</f>
        <v>66</v>
      </c>
      <c r="AT58" s="45">
        <f>+'Cell 10 603'!AN14</f>
        <v>66</v>
      </c>
      <c r="AU58" s="45">
        <f>+'Cell 10 603'!AO14</f>
        <v>60</v>
      </c>
      <c r="AV58" s="45">
        <f>+'Cell 10 603'!AP14</f>
        <v>50.4</v>
      </c>
      <c r="AW58" s="45">
        <f>+'Cell 10 603'!AQ14</f>
        <v>60.7</v>
      </c>
      <c r="AX58" s="45">
        <f>+'Cell 10 603'!AR14</f>
        <v>50.4</v>
      </c>
      <c r="AY58" s="45">
        <f>+'Cell 10 603'!AS14</f>
        <v>70.2</v>
      </c>
      <c r="AZ58" s="45">
        <f>+'Cell 10 603'!AT14</f>
        <v>78.599999999999994</v>
      </c>
      <c r="BA58" s="45">
        <f>+'Cell 10 603'!AU14</f>
        <v>70.2</v>
      </c>
      <c r="BB58" s="45">
        <f>+'Cell 10 603'!AV14</f>
        <v>63</v>
      </c>
      <c r="BC58" s="45">
        <f>+'Cell 10 603'!AW14</f>
        <v>70.8</v>
      </c>
      <c r="BD58" s="45">
        <f>+'Cell 10 603'!AX14</f>
        <v>76.8</v>
      </c>
      <c r="BE58" s="45">
        <f>+'Cell 10 603'!AY14</f>
        <v>85.2</v>
      </c>
      <c r="BF58" s="45">
        <f>+'Cell 10 603'!AZ14</f>
        <v>77.454545454545453</v>
      </c>
      <c r="BG58" s="45">
        <f>+'Cell 10 603'!BA14</f>
        <v>81.818181818181813</v>
      </c>
      <c r="BH58" s="45">
        <f>+'Cell 10 603'!BB14</f>
        <v>81.818181818181813</v>
      </c>
      <c r="BI58" s="45">
        <f>+'Cell 10 603'!BC14</f>
        <v>81.818181818181813</v>
      </c>
      <c r="BJ58" s="45">
        <f>+'Cell 10 603'!BD14</f>
        <v>76.36363636363636</v>
      </c>
      <c r="BK58" s="45">
        <f>+'Cell 10 603'!BE14</f>
        <v>78.545454545454547</v>
      </c>
      <c r="BL58" s="45">
        <f>+'Cell 10 603'!BF14</f>
        <v>80</v>
      </c>
      <c r="BM58" s="45">
        <f>+'Cell 10 603'!BG14</f>
        <v>70</v>
      </c>
      <c r="BN58" s="45">
        <f>+'Cell 10 603'!BH14</f>
        <v>71</v>
      </c>
      <c r="BO58" s="45">
        <f>+'Cell 10 603'!BI14</f>
        <v>75</v>
      </c>
      <c r="BP58" s="45">
        <f>+'Cell 10 603'!BJ14</f>
        <v>75</v>
      </c>
      <c r="BQ58" s="45">
        <f>+'Cell 10 603'!BK14</f>
        <v>80.400000000000006</v>
      </c>
      <c r="BR58" s="45">
        <f>+'Cell 10 603'!BL14</f>
        <v>75</v>
      </c>
      <c r="BS58" s="45">
        <f>+'Cell 10 603'!BM14</f>
        <v>75</v>
      </c>
      <c r="BT58" s="45">
        <f>+'Cell 10 603'!BN14</f>
        <v>72</v>
      </c>
      <c r="BU58" s="45">
        <f>+'Cell 10 603'!BO14</f>
        <v>70</v>
      </c>
      <c r="BV58" s="45">
        <f>+'Cell 10 603'!BP14</f>
        <v>70</v>
      </c>
      <c r="BW58" s="45">
        <f>+'Cell 10 603'!BQ14</f>
        <v>72</v>
      </c>
      <c r="BX58" s="45">
        <f>+'Cell 10 603'!BR14</f>
        <v>75</v>
      </c>
      <c r="BY58" s="45">
        <f>+'Cell 10 603'!BS14</f>
        <v>80</v>
      </c>
      <c r="BZ58" s="45"/>
      <c r="CA58" s="45"/>
      <c r="CB58" s="45"/>
      <c r="CC58" s="45"/>
      <c r="CD58" s="45"/>
      <c r="CE58" s="45"/>
      <c r="CF58" s="45"/>
      <c r="CG58" s="45"/>
      <c r="CH58" s="45"/>
      <c r="CI58" s="45"/>
      <c r="CJ58" s="45"/>
      <c r="CK58" s="45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U58" s="171"/>
    </row>
    <row r="59" spans="1:153" s="12" customFormat="1" ht="23.25" customHeight="1" x14ac:dyDescent="0.25">
      <c r="A59" s="55"/>
      <c r="B59" s="238" t="s">
        <v>27</v>
      </c>
      <c r="C59" s="239" t="s">
        <v>84</v>
      </c>
      <c r="D59" s="239">
        <v>29</v>
      </c>
      <c r="E59" s="239">
        <v>30</v>
      </c>
      <c r="F59" s="239">
        <f t="shared" ref="F59" si="93">+E59-D59</f>
        <v>1</v>
      </c>
      <c r="G59" s="135" t="str">
        <f>G57</f>
        <v>Output/Day</v>
      </c>
      <c r="H59" s="144">
        <v>126</v>
      </c>
      <c r="I59" s="144">
        <v>150</v>
      </c>
      <c r="J59" s="144">
        <v>144</v>
      </c>
      <c r="K59" s="153"/>
      <c r="L59" s="144">
        <v>222</v>
      </c>
      <c r="M59" s="144">
        <v>246</v>
      </c>
      <c r="N59" s="144">
        <v>216</v>
      </c>
      <c r="O59" s="144">
        <v>246</v>
      </c>
      <c r="P59" s="144">
        <v>246</v>
      </c>
      <c r="Q59" s="144">
        <v>288</v>
      </c>
      <c r="R59" s="144">
        <v>342</v>
      </c>
      <c r="S59" s="154"/>
      <c r="T59" s="154"/>
      <c r="U59" s="153"/>
      <c r="V59" s="153"/>
      <c r="W59" s="153"/>
      <c r="X59" s="153"/>
      <c r="Y59" s="153"/>
      <c r="Z59" s="154"/>
      <c r="AA59" s="153"/>
      <c r="AB59" s="154"/>
      <c r="AC59" s="154"/>
      <c r="AD59" s="153"/>
      <c r="AE59" s="153">
        <v>528</v>
      </c>
      <c r="AF59" s="153">
        <v>566</v>
      </c>
      <c r="AG59" s="153">
        <v>467</v>
      </c>
      <c r="AH59" s="153">
        <v>442</v>
      </c>
      <c r="AI59" s="153">
        <v>449</v>
      </c>
      <c r="AJ59" s="154">
        <v>583</v>
      </c>
      <c r="AK59" s="154">
        <v>692</v>
      </c>
      <c r="AL59" s="154">
        <v>714</v>
      </c>
      <c r="AM59" s="154">
        <v>774</v>
      </c>
      <c r="AN59" s="154">
        <v>798</v>
      </c>
      <c r="AO59" s="156">
        <v>0</v>
      </c>
      <c r="AP59" s="156">
        <f>+'Cell 11 603'!F13</f>
        <v>54</v>
      </c>
      <c r="AQ59" s="156">
        <f>+'Cell 11 603'!G13</f>
        <v>234</v>
      </c>
      <c r="AR59" s="156">
        <f>+'Cell 11 603'!H13</f>
        <v>540</v>
      </c>
      <c r="AS59" s="156">
        <f>+'Cell 11 603'!I13</f>
        <v>300</v>
      </c>
      <c r="AT59" s="156">
        <f>+'Cell 11 603'!J13</f>
        <v>432</v>
      </c>
      <c r="AU59" s="156">
        <f>+'Cell 11 603'!K13</f>
        <v>366</v>
      </c>
      <c r="AV59" s="156">
        <f>+'Cell 11 603'!L13</f>
        <v>420</v>
      </c>
      <c r="AW59" s="156">
        <f>+'Cell 11 603'!M13</f>
        <v>540</v>
      </c>
      <c r="AX59" s="156">
        <f>+'Cell 11 603'!N13</f>
        <v>480</v>
      </c>
      <c r="AY59" s="156">
        <f>+'Cell 11 603'!O13</f>
        <v>546</v>
      </c>
      <c r="AZ59" s="156">
        <f>+'Cell 11 603'!P13</f>
        <v>600</v>
      </c>
      <c r="BA59" s="156">
        <f>+'Cell 11 603'!Q13</f>
        <v>707</v>
      </c>
      <c r="BB59" s="156">
        <f>+'Cell 11 603'!R13</f>
        <v>576</v>
      </c>
      <c r="BC59" s="156">
        <f>+'Cell 11 603'!S13</f>
        <v>630</v>
      </c>
      <c r="BD59" s="156">
        <f>+'Cell 11 603'!T13</f>
        <v>768</v>
      </c>
      <c r="BE59" s="156">
        <f>+'Cell 11 603'!U13</f>
        <v>840</v>
      </c>
      <c r="BF59" s="156">
        <f>+'Cell 11 603'!V13</f>
        <v>882</v>
      </c>
      <c r="BG59" s="156">
        <f>+'Cell 11 603'!W13</f>
        <v>840</v>
      </c>
      <c r="BH59" s="156">
        <f>+'Cell 11 603'!X13</f>
        <v>882</v>
      </c>
      <c r="BI59" s="156">
        <f>+'Cell 11 603'!Y13</f>
        <v>582</v>
      </c>
      <c r="BJ59" s="156">
        <f>+'Cell 11 603'!Z13</f>
        <v>804</v>
      </c>
      <c r="BK59" s="156">
        <f>+'Cell 11 603'!AA13</f>
        <v>810</v>
      </c>
      <c r="BL59" s="156">
        <f>+'Cell 11 603'!AB13</f>
        <v>702</v>
      </c>
      <c r="BM59" s="156">
        <f>+'Cell 11 603'!AC13</f>
        <v>888</v>
      </c>
      <c r="BN59" s="156">
        <f>+'Cell 11 603'!AD13</f>
        <v>840</v>
      </c>
      <c r="BO59" s="156">
        <f>+'Cell 11 603'!AE13</f>
        <v>882</v>
      </c>
      <c r="BP59" s="156">
        <f>+'Cell 11 603'!AF13</f>
        <v>840</v>
      </c>
      <c r="BQ59" s="156">
        <f>+'Cell 11 603'!AG13</f>
        <v>804</v>
      </c>
      <c r="BR59" s="156">
        <f>+'Cell 11 603'!AH13</f>
        <v>756</v>
      </c>
      <c r="BS59" s="156">
        <f>+'Cell 11 603'!AI13</f>
        <v>846</v>
      </c>
      <c r="BT59" s="156">
        <f>+'Cell 11 603'!AJ13</f>
        <v>900</v>
      </c>
      <c r="BU59" s="156">
        <f>+'Cell 11 603'!AK13</f>
        <v>900</v>
      </c>
      <c r="BV59" s="156">
        <f>+'Cell 11 603'!AL13</f>
        <v>702</v>
      </c>
      <c r="BW59" s="156">
        <f>+'Cell 11 603'!AM13</f>
        <v>738</v>
      </c>
      <c r="BX59" s="156">
        <f>+'Cell 11 603'!AN13</f>
        <v>950</v>
      </c>
      <c r="BY59" s="156">
        <f>+'Cell 11 603'!AO13</f>
        <v>1100</v>
      </c>
      <c r="BZ59" s="153"/>
      <c r="CA59" s="154"/>
      <c r="CB59" s="154"/>
      <c r="CC59" s="153"/>
      <c r="CD59" s="153"/>
      <c r="CE59" s="153"/>
      <c r="CF59" s="153"/>
      <c r="CG59" s="153"/>
      <c r="CH59" s="153"/>
      <c r="CI59" s="154"/>
      <c r="CJ59" s="154"/>
      <c r="CK59" s="154"/>
      <c r="CL59" s="154"/>
      <c r="CM59" s="154"/>
      <c r="CN59" s="156"/>
      <c r="CO59" s="156"/>
      <c r="CP59" s="156"/>
      <c r="CQ59" s="156"/>
      <c r="CR59" s="156"/>
      <c r="CS59" s="156"/>
      <c r="CT59" s="156"/>
      <c r="CU59" s="156"/>
      <c r="CV59" s="156"/>
      <c r="CW59" s="156"/>
      <c r="CX59" s="156"/>
      <c r="CY59" s="156"/>
      <c r="CZ59" s="156"/>
      <c r="DA59" s="156"/>
      <c r="DB59" s="156"/>
      <c r="DC59" s="156"/>
      <c r="DD59" s="156"/>
      <c r="DE59" s="156"/>
      <c r="DF59" s="156"/>
      <c r="DG59" s="156"/>
      <c r="DH59" s="156"/>
      <c r="DI59" s="156"/>
      <c r="DJ59" s="156"/>
      <c r="DK59" s="156"/>
      <c r="DL59" s="156"/>
      <c r="DM59" s="156"/>
      <c r="DN59" s="156"/>
      <c r="DO59" s="156"/>
      <c r="DP59" s="156"/>
      <c r="DQ59" s="156"/>
      <c r="DR59" s="156"/>
      <c r="DS59" s="156"/>
      <c r="DT59" s="156"/>
      <c r="DU59" s="156"/>
      <c r="DV59" s="156"/>
      <c r="DW59" s="156"/>
      <c r="DX59" s="156"/>
      <c r="DY59" s="156"/>
      <c r="DZ59" s="156"/>
      <c r="EA59" s="156"/>
      <c r="EB59" s="156"/>
      <c r="EC59" s="156"/>
      <c r="ET59"/>
      <c r="EU59"/>
      <c r="EV59"/>
      <c r="EW59"/>
    </row>
    <row r="60" spans="1:153" ht="23.25" customHeight="1" x14ac:dyDescent="0.25">
      <c r="A60" s="54"/>
      <c r="B60" s="238"/>
      <c r="C60" s="240"/>
      <c r="D60" s="240"/>
      <c r="E60" s="240"/>
      <c r="F60" s="240"/>
      <c r="G60" s="135" t="s">
        <v>6</v>
      </c>
      <c r="H60" s="45">
        <f>H59/9</f>
        <v>14</v>
      </c>
      <c r="I60" s="45">
        <f>I59/9</f>
        <v>16.666666666666668</v>
      </c>
      <c r="J60" s="45">
        <f>J59/10</f>
        <v>14.4</v>
      </c>
      <c r="K60" s="45">
        <f>K59/9</f>
        <v>0</v>
      </c>
      <c r="L60" s="45">
        <f>+L59/9</f>
        <v>24.666666666666668</v>
      </c>
      <c r="M60" s="45">
        <f>+M59/9</f>
        <v>27.333333333333332</v>
      </c>
      <c r="N60" s="45">
        <f>N59/10</f>
        <v>21.6</v>
      </c>
      <c r="O60" s="45">
        <f>O59/10</f>
        <v>24.6</v>
      </c>
      <c r="P60" s="45">
        <f>P59/10</f>
        <v>24.6</v>
      </c>
      <c r="Q60" s="45">
        <f>Q59/10</f>
        <v>28.8</v>
      </c>
      <c r="R60" s="45">
        <f>SUM(R59:R59)/8</f>
        <v>42.75</v>
      </c>
      <c r="S60" s="45">
        <f>S59/8</f>
        <v>0</v>
      </c>
      <c r="T60" s="45">
        <f>T59/8</f>
        <v>0</v>
      </c>
      <c r="U60" s="45">
        <f>U59/8</f>
        <v>0</v>
      </c>
      <c r="V60" s="45">
        <f>V59/8</f>
        <v>0</v>
      </c>
      <c r="W60" s="45">
        <f>W59/8</f>
        <v>0</v>
      </c>
      <c r="X60" s="45">
        <f t="shared" ref="X60:AC60" si="94">SUM(X59:X59)/8</f>
        <v>0</v>
      </c>
      <c r="Y60" s="45">
        <f t="shared" si="94"/>
        <v>0</v>
      </c>
      <c r="Z60" s="45">
        <f t="shared" si="94"/>
        <v>0</v>
      </c>
      <c r="AA60" s="45">
        <f t="shared" si="94"/>
        <v>0</v>
      </c>
      <c r="AB60" s="45">
        <f t="shared" si="94"/>
        <v>0</v>
      </c>
      <c r="AC60" s="45">
        <f t="shared" si="94"/>
        <v>0</v>
      </c>
      <c r="AD60" s="45">
        <f>AD59/9</f>
        <v>0</v>
      </c>
      <c r="AE60" s="45">
        <f>AE59/9</f>
        <v>58.666666666666664</v>
      </c>
      <c r="AF60" s="45">
        <f>AF59/9</f>
        <v>62.888888888888886</v>
      </c>
      <c r="AG60" s="45">
        <f>AG59/10</f>
        <v>46.7</v>
      </c>
      <c r="AH60" s="45">
        <f>AH59/9</f>
        <v>49.111111111111114</v>
      </c>
      <c r="AI60" s="45">
        <f>+AI59/9</f>
        <v>49.888888888888886</v>
      </c>
      <c r="AJ60" s="45">
        <f>+AJ59/9</f>
        <v>64.777777777777771</v>
      </c>
      <c r="AK60" s="45">
        <f>AK59/9</f>
        <v>76.888888888888886</v>
      </c>
      <c r="AL60" s="45">
        <f>AL59/9</f>
        <v>79.333333333333329</v>
      </c>
      <c r="AM60" s="45">
        <f>AM59/9</f>
        <v>86</v>
      </c>
      <c r="AN60" s="45">
        <f>AN59/9</f>
        <v>88.666666666666671</v>
      </c>
      <c r="AO60" s="45">
        <v>0</v>
      </c>
      <c r="AP60" s="45">
        <f>+'Cell 11 603'!F14</f>
        <v>6.75</v>
      </c>
      <c r="AQ60" s="45">
        <f>+'Cell 11 603'!G14</f>
        <v>29.25</v>
      </c>
      <c r="AR60" s="45">
        <f>+'Cell 11 603'!H14</f>
        <v>67.5</v>
      </c>
      <c r="AS60" s="45">
        <f>+'Cell 11 603'!I14</f>
        <v>37.5</v>
      </c>
      <c r="AT60" s="45">
        <f>+'Cell 11 603'!J14</f>
        <v>54</v>
      </c>
      <c r="AU60" s="45">
        <f>+'Cell 11 603'!K14</f>
        <v>45.75</v>
      </c>
      <c r="AV60" s="45">
        <f>+'Cell 11 603'!L14</f>
        <v>46.666666666666664</v>
      </c>
      <c r="AW60" s="45">
        <f>+'Cell 11 603'!M14</f>
        <v>67.5</v>
      </c>
      <c r="AX60" s="45">
        <f>+'Cell 11 603'!N14</f>
        <v>60</v>
      </c>
      <c r="AY60" s="45">
        <f>+'Cell 11 603'!O14</f>
        <v>68.25</v>
      </c>
      <c r="AZ60" s="45">
        <f>+'Cell 11 603'!P14</f>
        <v>75</v>
      </c>
      <c r="BA60" s="45">
        <f>+'Cell 11 603'!Q14</f>
        <v>88.375</v>
      </c>
      <c r="BB60" s="45">
        <f>+'Cell 11 603'!R14</f>
        <v>72</v>
      </c>
      <c r="BC60" s="45">
        <f>+'Cell 11 603'!S14</f>
        <v>52.5</v>
      </c>
      <c r="BD60" s="45">
        <f>+'Cell 11 603'!T14</f>
        <v>64</v>
      </c>
      <c r="BE60" s="45">
        <f>+'Cell 11 603'!U14</f>
        <v>70</v>
      </c>
      <c r="BF60" s="45">
        <f>+'Cell 11 603'!V14</f>
        <v>73.5</v>
      </c>
      <c r="BG60" s="45">
        <f>+'Cell 11 603'!W14</f>
        <v>70</v>
      </c>
      <c r="BH60" s="45">
        <f>+'Cell 11 603'!X14</f>
        <v>73.5</v>
      </c>
      <c r="BI60" s="45">
        <f>+'Cell 11 603'!Y14</f>
        <v>48.5</v>
      </c>
      <c r="BJ60" s="45">
        <f>+'Cell 11 603'!Z14</f>
        <v>67</v>
      </c>
      <c r="BK60" s="45">
        <f>+'Cell 11 603'!AA14</f>
        <v>67.5</v>
      </c>
      <c r="BL60" s="45">
        <f>+'Cell 11 603'!AB14</f>
        <v>58.5</v>
      </c>
      <c r="BM60" s="45">
        <f>+'Cell 11 603'!AC14</f>
        <v>74</v>
      </c>
      <c r="BN60" s="45">
        <f>+'Cell 11 603'!AD14</f>
        <v>70</v>
      </c>
      <c r="BO60" s="45">
        <f>+'Cell 11 603'!AE14</f>
        <v>73.5</v>
      </c>
      <c r="BP60" s="45">
        <f>+'Cell 11 603'!AF14</f>
        <v>70</v>
      </c>
      <c r="BQ60" s="45">
        <f>+'Cell 11 603'!AG14</f>
        <v>80.400000000000006</v>
      </c>
      <c r="BR60" s="45">
        <f>+'Cell 11 603'!AH14</f>
        <v>63</v>
      </c>
      <c r="BS60" s="45">
        <f>+'Cell 11 603'!AI14</f>
        <v>70.5</v>
      </c>
      <c r="BT60" s="45">
        <f>+'Cell 11 603'!AJ14</f>
        <v>75</v>
      </c>
      <c r="BU60" s="45">
        <f>+'Cell 11 603'!AK14</f>
        <v>75</v>
      </c>
      <c r="BV60" s="45">
        <f>+'Cell 11 603'!AL14</f>
        <v>58.5</v>
      </c>
      <c r="BW60" s="45">
        <f>+'Cell 11 603'!AM14</f>
        <v>61.5</v>
      </c>
      <c r="BX60" s="45">
        <f>+'Cell 11 603'!AN14</f>
        <v>79.166666666666671</v>
      </c>
      <c r="BY60" s="45">
        <f>+'Cell 11 603'!AO14</f>
        <v>91.666666666666671</v>
      </c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5"/>
      <c r="DW60" s="45"/>
      <c r="DX60" s="45"/>
      <c r="DY60" s="45"/>
      <c r="DZ60" s="45"/>
      <c r="EA60" s="45"/>
      <c r="EB60" s="45"/>
      <c r="EC60" s="45"/>
    </row>
    <row r="61" spans="1:153" s="12" customFormat="1" ht="23.25" customHeight="1" x14ac:dyDescent="0.25">
      <c r="A61" s="55"/>
      <c r="B61" s="239" t="s">
        <v>82</v>
      </c>
      <c r="C61" s="239" t="s">
        <v>85</v>
      </c>
      <c r="D61" s="239">
        <v>29</v>
      </c>
      <c r="E61" s="239">
        <v>30</v>
      </c>
      <c r="F61" s="239">
        <f t="shared" ref="F61" si="95">+E61-D61</f>
        <v>1</v>
      </c>
      <c r="G61" s="135" t="str">
        <f>G55</f>
        <v>Output/Day</v>
      </c>
      <c r="H61" s="144">
        <v>72</v>
      </c>
      <c r="I61" s="144">
        <v>126</v>
      </c>
      <c r="J61" s="144">
        <v>150</v>
      </c>
      <c r="K61" s="153"/>
      <c r="L61" s="144">
        <v>107</v>
      </c>
      <c r="M61" s="144">
        <v>270</v>
      </c>
      <c r="N61" s="144">
        <v>180</v>
      </c>
      <c r="O61" s="144">
        <v>246</v>
      </c>
      <c r="P61" s="144">
        <v>342</v>
      </c>
      <c r="Q61" s="144">
        <v>402</v>
      </c>
      <c r="R61" s="144">
        <v>420</v>
      </c>
      <c r="S61" s="154"/>
      <c r="T61" s="154"/>
      <c r="U61" s="153"/>
      <c r="V61" s="153"/>
      <c r="W61" s="153"/>
      <c r="X61" s="153"/>
      <c r="Y61" s="153"/>
      <c r="Z61" s="154"/>
      <c r="AA61" s="153"/>
      <c r="AB61" s="154"/>
      <c r="AC61" s="154"/>
      <c r="AD61" s="153"/>
      <c r="AE61" s="153">
        <v>541</v>
      </c>
      <c r="AF61" s="153">
        <v>600</v>
      </c>
      <c r="AG61" s="153">
        <v>504</v>
      </c>
      <c r="AH61" s="153">
        <v>722</v>
      </c>
      <c r="AI61" s="153">
        <v>504</v>
      </c>
      <c r="AJ61" s="154">
        <v>540</v>
      </c>
      <c r="AK61" s="154">
        <v>612</v>
      </c>
      <c r="AL61" s="154">
        <v>703</v>
      </c>
      <c r="AM61" s="154">
        <v>774</v>
      </c>
      <c r="AN61" s="154">
        <v>800</v>
      </c>
      <c r="AO61" s="156">
        <f>+'Cell 10 603'!AI64</f>
        <v>0</v>
      </c>
      <c r="AP61" s="156">
        <f>+'Cell 10 603'!AJ64</f>
        <v>0</v>
      </c>
      <c r="AQ61" s="156">
        <f>+'Cell 10 603'!AK64</f>
        <v>0</v>
      </c>
      <c r="AR61" s="156">
        <f>+'Cell 10 603'!AL64</f>
        <v>0</v>
      </c>
      <c r="AS61" s="156">
        <f>+'Cell 10 603'!AM64</f>
        <v>0</v>
      </c>
      <c r="AT61" s="156">
        <f>+'Cell 10 603'!AN64</f>
        <v>0</v>
      </c>
      <c r="AU61" s="156">
        <f>+'Cell 10 603'!AO64</f>
        <v>0</v>
      </c>
      <c r="AV61" s="156">
        <f>+'Cell 10 603'!AP64</f>
        <v>0</v>
      </c>
      <c r="AW61" s="156">
        <f>+'Cell 10 603'!AQ64</f>
        <v>0</v>
      </c>
      <c r="AX61" s="156">
        <f>+'Cell 10 603'!AR64</f>
        <v>0</v>
      </c>
      <c r="AY61" s="156">
        <f>+'Cell 10 603'!AS64</f>
        <v>0</v>
      </c>
      <c r="AZ61" s="156">
        <f>+'Cell 10 603'!AT64</f>
        <v>0</v>
      </c>
      <c r="BA61" s="156">
        <f>+'Cell 10 603'!AU64</f>
        <v>0</v>
      </c>
      <c r="BB61" s="156">
        <f>+'Cell 10 603'!AV64</f>
        <v>0</v>
      </c>
      <c r="BC61" s="156">
        <f>+'Cell 10 603'!AW64</f>
        <v>0</v>
      </c>
      <c r="BD61" s="156">
        <f>+'Cell 10 603'!AX64</f>
        <v>0</v>
      </c>
      <c r="BE61" s="156">
        <f>+'Cell 10 603'!AY64</f>
        <v>0</v>
      </c>
      <c r="BF61" s="156">
        <f>+'Cell 10 603'!AZ64</f>
        <v>0</v>
      </c>
      <c r="BG61" s="144">
        <f>+'Cell 10 603'!BA64</f>
        <v>0</v>
      </c>
      <c r="BH61" s="144">
        <f>+'Cell 10 603'!BB64</f>
        <v>0</v>
      </c>
      <c r="BI61" s="144">
        <f>+'Cell 10 603'!BC64</f>
        <v>0</v>
      </c>
      <c r="BJ61" s="144"/>
      <c r="BK61" s="144"/>
      <c r="BL61" s="144">
        <f>+'Cell D6'!R13</f>
        <v>102</v>
      </c>
      <c r="BM61" s="144">
        <f>+'Cell D6'!S13</f>
        <v>96</v>
      </c>
      <c r="BN61" s="144">
        <f>+'Cell D6'!T13</f>
        <v>144</v>
      </c>
      <c r="BO61" s="144">
        <f>+'Cell D6'!U13</f>
        <v>240</v>
      </c>
      <c r="BP61" s="144">
        <f>+'Cell D6'!V13</f>
        <v>240</v>
      </c>
      <c r="BQ61" s="144">
        <f>+'Cell D6'!W13</f>
        <v>204</v>
      </c>
      <c r="BR61" s="144">
        <f>+'Cell D6'!X13</f>
        <v>300</v>
      </c>
      <c r="BS61" s="144">
        <f>+'Cell D6'!Y13</f>
        <v>240</v>
      </c>
      <c r="BT61" s="144">
        <f>+'Cell D6'!Z13</f>
        <v>264</v>
      </c>
      <c r="BU61" s="144">
        <f>+'Cell D6'!AA13</f>
        <v>144</v>
      </c>
      <c r="BV61" s="144">
        <f>+'Cell D6'!AB13</f>
        <v>300</v>
      </c>
      <c r="BW61" s="144">
        <f>+'Cell D6'!AC13</f>
        <v>216</v>
      </c>
      <c r="BX61" s="144">
        <f>+'Cell D6'!AD13</f>
        <v>348</v>
      </c>
      <c r="BY61" s="144">
        <f>+'Cell D6'!AE13</f>
        <v>324</v>
      </c>
      <c r="BZ61" s="153"/>
      <c r="CA61" s="154"/>
      <c r="CB61" s="154"/>
      <c r="CC61" s="153"/>
      <c r="CD61" s="153"/>
      <c r="CE61" s="153"/>
      <c r="CF61" s="153"/>
      <c r="CG61" s="153"/>
      <c r="CH61" s="153"/>
      <c r="CI61" s="154"/>
      <c r="CJ61" s="154"/>
      <c r="CK61" s="154"/>
      <c r="CL61" s="154"/>
      <c r="CM61" s="154"/>
      <c r="CN61" s="156"/>
      <c r="CO61" s="156"/>
      <c r="CP61" s="156"/>
      <c r="CQ61" s="156"/>
      <c r="CR61" s="156"/>
      <c r="CS61" s="156"/>
      <c r="CT61" s="156"/>
      <c r="CU61" s="156"/>
      <c r="CV61" s="156"/>
      <c r="CW61" s="156"/>
      <c r="CX61" s="156"/>
      <c r="CY61" s="156"/>
      <c r="CZ61" s="156"/>
      <c r="DA61" s="156"/>
      <c r="DB61" s="156"/>
      <c r="DC61" s="156"/>
      <c r="DD61" s="156"/>
      <c r="DE61" s="156"/>
      <c r="DF61" s="156"/>
      <c r="DG61" s="156"/>
      <c r="DH61" s="156"/>
      <c r="DI61" s="156"/>
      <c r="DJ61" s="156"/>
      <c r="DK61" s="156"/>
      <c r="DL61" s="156"/>
      <c r="DM61" s="156"/>
      <c r="DN61" s="156"/>
      <c r="DO61" s="156"/>
      <c r="DP61" s="156"/>
      <c r="DQ61" s="156"/>
      <c r="DR61" s="156"/>
      <c r="DS61" s="156"/>
      <c r="DT61" s="156"/>
      <c r="DU61" s="156"/>
      <c r="DV61" s="156"/>
      <c r="DW61" s="156"/>
      <c r="DX61" s="156"/>
      <c r="DY61" s="156"/>
      <c r="DZ61" s="156"/>
      <c r="EA61" s="156"/>
      <c r="EB61" s="156"/>
      <c r="EC61" s="156"/>
      <c r="ET61"/>
      <c r="EU61"/>
      <c r="EV61"/>
      <c r="EW61"/>
    </row>
    <row r="62" spans="1:153" ht="23.25" customHeight="1" x14ac:dyDescent="0.25">
      <c r="A62" s="54"/>
      <c r="B62" s="240"/>
      <c r="C62" s="240"/>
      <c r="D62" s="240"/>
      <c r="E62" s="240"/>
      <c r="F62" s="240"/>
      <c r="G62" s="135" t="s">
        <v>6</v>
      </c>
      <c r="H62" s="45">
        <f>H61/9</f>
        <v>8</v>
      </c>
      <c r="I62" s="45">
        <f>I61/9</f>
        <v>14</v>
      </c>
      <c r="J62" s="45">
        <f>J61/9</f>
        <v>16.666666666666668</v>
      </c>
      <c r="K62" s="45">
        <f t="shared" ref="K62" si="96">K61/9</f>
        <v>0</v>
      </c>
      <c r="L62" s="45">
        <f>+L61/9</f>
        <v>11.888888888888889</v>
      </c>
      <c r="M62" s="45">
        <f>+M61/9</f>
        <v>30</v>
      </c>
      <c r="N62" s="45">
        <f t="shared" ref="N62:Q62" si="97">N61/9</f>
        <v>20</v>
      </c>
      <c r="O62" s="45">
        <f t="shared" si="97"/>
        <v>27.333333333333332</v>
      </c>
      <c r="P62" s="45">
        <f t="shared" si="97"/>
        <v>38</v>
      </c>
      <c r="Q62" s="45">
        <f t="shared" si="97"/>
        <v>44.666666666666664</v>
      </c>
      <c r="R62" s="45">
        <f>SUM(R61:R61)/8</f>
        <v>52.5</v>
      </c>
      <c r="S62" s="45">
        <f>S61/8</f>
        <v>0</v>
      </c>
      <c r="T62" s="45">
        <f>T61/8</f>
        <v>0</v>
      </c>
      <c r="U62" s="45">
        <f>U61/8</f>
        <v>0</v>
      </c>
      <c r="V62" s="45">
        <f>V61/8</f>
        <v>0</v>
      </c>
      <c r="W62" s="45">
        <f>W61/8</f>
        <v>0</v>
      </c>
      <c r="X62" s="45">
        <f t="shared" ref="X62:AC62" si="98">SUM(X61:X61)/8</f>
        <v>0</v>
      </c>
      <c r="Y62" s="45">
        <f t="shared" si="98"/>
        <v>0</v>
      </c>
      <c r="Z62" s="45">
        <f t="shared" si="98"/>
        <v>0</v>
      </c>
      <c r="AA62" s="45">
        <f t="shared" si="98"/>
        <v>0</v>
      </c>
      <c r="AB62" s="45">
        <f t="shared" si="98"/>
        <v>0</v>
      </c>
      <c r="AC62" s="45">
        <f t="shared" si="98"/>
        <v>0</v>
      </c>
      <c r="AD62" s="45">
        <f>AD61/9</f>
        <v>0</v>
      </c>
      <c r="AE62" s="45">
        <f>AE61/9</f>
        <v>60.111111111111114</v>
      </c>
      <c r="AF62" s="45">
        <f>AF61/9</f>
        <v>66.666666666666671</v>
      </c>
      <c r="AG62" s="45">
        <f>AG61/9</f>
        <v>56</v>
      </c>
      <c r="AH62" s="45">
        <f>AH61/9</f>
        <v>80.222222222222229</v>
      </c>
      <c r="AI62" s="45">
        <f>+AI61/9</f>
        <v>56</v>
      </c>
      <c r="AJ62" s="45">
        <f>+AJ61/9</f>
        <v>60</v>
      </c>
      <c r="AK62" s="45">
        <f>AK61/9</f>
        <v>68</v>
      </c>
      <c r="AL62" s="45">
        <f>AL61/9</f>
        <v>78.111111111111114</v>
      </c>
      <c r="AM62" s="45">
        <f>AM61/9</f>
        <v>86</v>
      </c>
      <c r="AN62" s="45">
        <f>AN61/9</f>
        <v>88.888888888888886</v>
      </c>
      <c r="AO62" s="45">
        <f>+'Cell 10 603'!AI65</f>
        <v>0</v>
      </c>
      <c r="AP62" s="45">
        <f>+'Cell 10 603'!AJ65</f>
        <v>0</v>
      </c>
      <c r="AQ62" s="45">
        <f>+'Cell 10 603'!AK65</f>
        <v>0</v>
      </c>
      <c r="AR62" s="45">
        <f>+'Cell 10 603'!AL65</f>
        <v>0</v>
      </c>
      <c r="AS62" s="45">
        <f>+'Cell 10 603'!AM65</f>
        <v>0</v>
      </c>
      <c r="AT62" s="45">
        <f>+'Cell 10 603'!AN65</f>
        <v>0</v>
      </c>
      <c r="AU62" s="45">
        <f>+'Cell 10 603'!AO65</f>
        <v>0</v>
      </c>
      <c r="AV62" s="45">
        <f>+'Cell 10 603'!AP65</f>
        <v>0</v>
      </c>
      <c r="AW62" s="45">
        <f>+'Cell 10 603'!AQ65</f>
        <v>0</v>
      </c>
      <c r="AX62" s="45">
        <f>+'Cell 10 603'!AR65</f>
        <v>0</v>
      </c>
      <c r="AY62" s="45">
        <f>+'Cell 10 603'!AS65</f>
        <v>0</v>
      </c>
      <c r="AZ62" s="45">
        <f>+'Cell 10 603'!AT65</f>
        <v>0</v>
      </c>
      <c r="BA62" s="45">
        <f>+'Cell 10 603'!AU65</f>
        <v>0</v>
      </c>
      <c r="BB62" s="45">
        <f>+'Cell 10 603'!AV65</f>
        <v>0</v>
      </c>
      <c r="BC62" s="45">
        <f>+'Cell 10 603'!AW65</f>
        <v>0</v>
      </c>
      <c r="BD62" s="45">
        <f>+'Cell 10 603'!AX65</f>
        <v>0</v>
      </c>
      <c r="BE62" s="45">
        <f>+'Cell 10 603'!AY65</f>
        <v>0</v>
      </c>
      <c r="BF62" s="45">
        <f>+'Cell 10 603'!AZ65</f>
        <v>0</v>
      </c>
      <c r="BG62" s="45">
        <f>+'Cell 10 603'!BA65</f>
        <v>0</v>
      </c>
      <c r="BH62" s="45">
        <f>+'Cell 10 603'!BB65</f>
        <v>0</v>
      </c>
      <c r="BI62" s="45">
        <f>+'Cell 10 603'!BC65</f>
        <v>0</v>
      </c>
      <c r="BJ62" s="45"/>
      <c r="BK62" s="45"/>
      <c r="BL62" s="45">
        <f>+'Cell D6'!R14</f>
        <v>11.333333333333334</v>
      </c>
      <c r="BM62" s="45">
        <f>+'Cell D6'!S14</f>
        <v>10.666666666666666</v>
      </c>
      <c r="BN62" s="45">
        <f>+'Cell D6'!T14</f>
        <v>16</v>
      </c>
      <c r="BO62" s="45">
        <f>+'Cell D6'!U14</f>
        <v>26.666666666666668</v>
      </c>
      <c r="BP62" s="45">
        <f>+'Cell D6'!V14</f>
        <v>26.666666666666668</v>
      </c>
      <c r="BQ62" s="45">
        <f>+'Cell D6'!W14</f>
        <v>22.666666666666668</v>
      </c>
      <c r="BR62" s="45">
        <f>+'Cell D6'!X14</f>
        <v>33.333333333333336</v>
      </c>
      <c r="BS62" s="45">
        <f>+'Cell D6'!Y14</f>
        <v>26.666666666666668</v>
      </c>
      <c r="BT62" s="45">
        <f>+'Cell D6'!Z14</f>
        <v>29.333333333333332</v>
      </c>
      <c r="BU62" s="45">
        <f>+'Cell D6'!AA14</f>
        <v>16</v>
      </c>
      <c r="BV62" s="45">
        <f>+'Cell D6'!AB14</f>
        <v>25</v>
      </c>
      <c r="BW62" s="45">
        <f>+'Cell D6'!AC14</f>
        <v>18</v>
      </c>
      <c r="BX62" s="45">
        <f>+'Cell D6'!AD14</f>
        <v>29</v>
      </c>
      <c r="BY62" s="45">
        <f>+'Cell D6'!AE14</f>
        <v>27</v>
      </c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45"/>
      <c r="CS62" s="45"/>
      <c r="CT62" s="45"/>
      <c r="CU62" s="45"/>
      <c r="CV62" s="45"/>
      <c r="CW62" s="45"/>
      <c r="CX62" s="45"/>
      <c r="CY62" s="45"/>
      <c r="CZ62" s="45"/>
      <c r="DA62" s="45"/>
      <c r="DB62" s="45"/>
      <c r="DC62" s="45"/>
      <c r="DD62" s="45"/>
      <c r="DE62" s="45"/>
      <c r="DF62" s="45"/>
      <c r="DG62" s="45"/>
      <c r="DH62" s="45"/>
      <c r="DI62" s="45"/>
      <c r="DJ62" s="45"/>
      <c r="DK62" s="45"/>
      <c r="DL62" s="45"/>
      <c r="DM62" s="45"/>
      <c r="DN62" s="45"/>
      <c r="DO62" s="45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</row>
    <row r="63" spans="1:153" s="12" customFormat="1" ht="23.25" customHeight="1" x14ac:dyDescent="0.25">
      <c r="A63" s="55"/>
      <c r="B63" s="238" t="s">
        <v>23</v>
      </c>
      <c r="C63" s="239" t="s">
        <v>83</v>
      </c>
      <c r="D63" s="239">
        <v>29</v>
      </c>
      <c r="E63" s="239">
        <v>27</v>
      </c>
      <c r="F63" s="239">
        <f t="shared" ref="F63" si="99">+E63-D63</f>
        <v>-2</v>
      </c>
      <c r="G63" s="135" t="str">
        <f>G57</f>
        <v>Output/Day</v>
      </c>
      <c r="H63" s="144">
        <v>72</v>
      </c>
      <c r="I63" s="144">
        <v>126</v>
      </c>
      <c r="J63" s="144">
        <v>150</v>
      </c>
      <c r="K63" s="153"/>
      <c r="L63" s="144">
        <v>107</v>
      </c>
      <c r="M63" s="144">
        <v>270</v>
      </c>
      <c r="N63" s="144">
        <v>180</v>
      </c>
      <c r="O63" s="144">
        <v>246</v>
      </c>
      <c r="P63" s="144">
        <v>342</v>
      </c>
      <c r="Q63" s="144">
        <v>402</v>
      </c>
      <c r="R63" s="144">
        <v>420</v>
      </c>
      <c r="S63" s="154"/>
      <c r="T63" s="154"/>
      <c r="U63" s="153"/>
      <c r="V63" s="153"/>
      <c r="W63" s="153"/>
      <c r="X63" s="153"/>
      <c r="Y63" s="153"/>
      <c r="Z63" s="154"/>
      <c r="AA63" s="153"/>
      <c r="AB63" s="154"/>
      <c r="AC63" s="154"/>
      <c r="AD63" s="153"/>
      <c r="AE63" s="153">
        <v>541</v>
      </c>
      <c r="AF63" s="153">
        <v>600</v>
      </c>
      <c r="AG63" s="153">
        <v>504</v>
      </c>
      <c r="AH63" s="153">
        <v>722</v>
      </c>
      <c r="AI63" s="153">
        <v>504</v>
      </c>
      <c r="AJ63" s="154">
        <v>540</v>
      </c>
      <c r="AK63" s="154">
        <v>612</v>
      </c>
      <c r="AL63" s="154">
        <v>703</v>
      </c>
      <c r="AM63" s="154">
        <v>774</v>
      </c>
      <c r="AN63" s="154">
        <v>800</v>
      </c>
      <c r="AO63" s="156">
        <f>+'Buffer Zone'!U9</f>
        <v>372</v>
      </c>
      <c r="AP63" s="156">
        <f>+'Buffer Zone'!V9</f>
        <v>402</v>
      </c>
      <c r="AQ63" s="156">
        <f>+'Buffer Zone'!W9</f>
        <v>318</v>
      </c>
      <c r="AR63" s="156">
        <f>+'Buffer Zone'!X9</f>
        <v>300</v>
      </c>
      <c r="AS63" s="156">
        <f>+'Buffer Zone'!Y9</f>
        <v>246</v>
      </c>
      <c r="AT63" s="156">
        <f>+'Buffer Zone'!Z9</f>
        <v>258</v>
      </c>
      <c r="AU63" s="156">
        <f>+'Buffer Zone'!AA9</f>
        <v>72</v>
      </c>
      <c r="AV63" s="156">
        <f>+'Buffer Zone'!AB9</f>
        <v>66</v>
      </c>
      <c r="AW63" s="156">
        <f>+'Buffer Zone'!AC9</f>
        <v>30</v>
      </c>
      <c r="AX63" s="156">
        <f>+'Buffer Zone'!AD9</f>
        <v>54</v>
      </c>
      <c r="AY63" s="156">
        <f>+'Buffer Zone'!AE9</f>
        <v>129</v>
      </c>
      <c r="AZ63" s="156">
        <f>+'Buffer Zone'!AF9</f>
        <v>75</v>
      </c>
      <c r="BA63" s="156">
        <f>+'Buffer Zone'!AG9</f>
        <v>186</v>
      </c>
      <c r="BB63" s="156">
        <f>+'Buffer Zone'!AH9</f>
        <v>108</v>
      </c>
      <c r="BC63" s="156">
        <f>+'Buffer Zone'!AI9</f>
        <v>126</v>
      </c>
      <c r="BD63" s="156">
        <f>+'Buffer Zone'!AJ9</f>
        <v>204</v>
      </c>
      <c r="BE63" s="156">
        <f>+'Buffer Zone'!AK9</f>
        <v>444</v>
      </c>
      <c r="BF63" s="156">
        <f>+'Buffer Zone'!AL9</f>
        <v>120</v>
      </c>
      <c r="BG63" s="156">
        <f>+'Buffer Zone'!AM9</f>
        <v>48</v>
      </c>
      <c r="BH63" s="156">
        <f>+'Buffer Zone'!AN9</f>
        <v>54</v>
      </c>
      <c r="BI63" s="156">
        <f>+'Buffer Zone'!AO9</f>
        <v>162</v>
      </c>
      <c r="BJ63" s="156">
        <f>+'Buffer Zone'!AP9</f>
        <v>60</v>
      </c>
      <c r="BK63" s="156">
        <f>+'Buffer Zone'!AQ9</f>
        <v>0</v>
      </c>
      <c r="BL63" s="156">
        <f>+'Buffer Zone'!AR9</f>
        <v>168</v>
      </c>
      <c r="BM63" s="156">
        <f>+'Buffer Zone'!AS9</f>
        <v>138</v>
      </c>
      <c r="BN63" s="156">
        <f>+'Buffer Zone'!AT9</f>
        <v>162</v>
      </c>
      <c r="BO63" s="156">
        <f>+'Buffer Zone'!AU9</f>
        <v>222</v>
      </c>
      <c r="BP63" s="156">
        <f>+'Buffer Zone'!AV9</f>
        <v>306</v>
      </c>
      <c r="BQ63" s="156">
        <f ca="1">-BQ63</f>
        <v>0</v>
      </c>
      <c r="BR63" s="156">
        <f>+'Buffer Zone'!AW9</f>
        <v>162</v>
      </c>
      <c r="BS63" s="156">
        <f>+'Buffer Zone'!AX9</f>
        <v>168</v>
      </c>
      <c r="BT63" s="156">
        <f>+'Buffer Zone'!AY9</f>
        <v>312</v>
      </c>
      <c r="BU63" s="156">
        <f>+'Buffer Zone'!AZ9</f>
        <v>186</v>
      </c>
      <c r="BV63" s="156">
        <f>+'Buffer Zone'!BA9</f>
        <v>306</v>
      </c>
      <c r="BW63" s="156">
        <f>+'Buffer Zone'!BB9</f>
        <v>0</v>
      </c>
      <c r="BX63" s="156">
        <f>+'Buffer Zone'!BC9</f>
        <v>288</v>
      </c>
      <c r="BY63" s="156">
        <f>+'Buffer Zone'!BD9</f>
        <v>450</v>
      </c>
      <c r="BZ63" s="153"/>
      <c r="CA63" s="154"/>
      <c r="CB63" s="154"/>
      <c r="CC63" s="153"/>
      <c r="CD63" s="153"/>
      <c r="CE63" s="153"/>
      <c r="CF63" s="153"/>
      <c r="CG63" s="153"/>
      <c r="CH63" s="153"/>
      <c r="CI63" s="154"/>
      <c r="CJ63" s="154"/>
      <c r="CK63" s="154"/>
      <c r="CL63" s="154"/>
      <c r="CM63" s="154"/>
      <c r="CN63" s="156"/>
      <c r="CO63" s="156"/>
      <c r="CP63" s="156"/>
      <c r="CQ63" s="156"/>
      <c r="CR63" s="156"/>
      <c r="CS63" s="156"/>
      <c r="CT63" s="156"/>
      <c r="CU63" s="156"/>
      <c r="CV63" s="156"/>
      <c r="CW63" s="156"/>
      <c r="CX63" s="156"/>
      <c r="CY63" s="156"/>
      <c r="CZ63" s="156"/>
      <c r="DA63" s="156"/>
      <c r="DB63" s="156"/>
      <c r="DC63" s="156"/>
      <c r="DD63" s="156"/>
      <c r="DE63" s="156"/>
      <c r="DF63" s="156"/>
      <c r="DG63" s="156"/>
      <c r="DH63" s="156"/>
      <c r="DI63" s="156"/>
      <c r="DJ63" s="156"/>
      <c r="DK63" s="156"/>
      <c r="DL63" s="156"/>
      <c r="DM63" s="156"/>
      <c r="DN63" s="156"/>
      <c r="DO63" s="156"/>
      <c r="DP63" s="156"/>
      <c r="DQ63" s="156"/>
      <c r="DR63" s="156"/>
      <c r="DS63" s="156"/>
      <c r="DT63" s="156"/>
      <c r="DU63" s="156"/>
      <c r="DV63" s="156"/>
      <c r="DW63" s="156"/>
      <c r="DX63" s="156"/>
      <c r="DY63" s="156"/>
      <c r="DZ63" s="156"/>
      <c r="EA63" s="156"/>
      <c r="EB63" s="156"/>
      <c r="EC63" s="156"/>
      <c r="ET63"/>
      <c r="EU63"/>
      <c r="EV63"/>
      <c r="EW63"/>
    </row>
    <row r="64" spans="1:153" ht="23.25" customHeight="1" x14ac:dyDescent="0.25">
      <c r="A64" s="54"/>
      <c r="B64" s="238"/>
      <c r="C64" s="240"/>
      <c r="D64" s="240"/>
      <c r="E64" s="240"/>
      <c r="F64" s="240"/>
      <c r="G64" s="135" t="s">
        <v>6</v>
      </c>
      <c r="H64" s="45">
        <f>H63/9</f>
        <v>8</v>
      </c>
      <c r="I64" s="45">
        <f>I63/9</f>
        <v>14</v>
      </c>
      <c r="J64" s="45">
        <f>J63/9</f>
        <v>16.666666666666668</v>
      </c>
      <c r="K64" s="45">
        <f>K63/9</f>
        <v>0</v>
      </c>
      <c r="L64" s="45">
        <f>+L63/9</f>
        <v>11.888888888888889</v>
      </c>
      <c r="M64" s="45">
        <f>+M63/9</f>
        <v>30</v>
      </c>
      <c r="N64" s="45">
        <f>N63/9</f>
        <v>20</v>
      </c>
      <c r="O64" s="45">
        <f>O63/9</f>
        <v>27.333333333333332</v>
      </c>
      <c r="P64" s="45">
        <f>P63/9</f>
        <v>38</v>
      </c>
      <c r="Q64" s="45">
        <f>Q63/9</f>
        <v>44.666666666666664</v>
      </c>
      <c r="R64" s="45">
        <f>SUM(R63:R63)/8</f>
        <v>52.5</v>
      </c>
      <c r="S64" s="45">
        <f>S63/8</f>
        <v>0</v>
      </c>
      <c r="T64" s="45">
        <f>T63/8</f>
        <v>0</v>
      </c>
      <c r="U64" s="45">
        <f>U63/8</f>
        <v>0</v>
      </c>
      <c r="V64" s="45">
        <f>V63/8</f>
        <v>0</v>
      </c>
      <c r="W64" s="45">
        <f>W63/8</f>
        <v>0</v>
      </c>
      <c r="X64" s="45">
        <f t="shared" ref="X64:AC64" si="100">SUM(X63:X63)/8</f>
        <v>0</v>
      </c>
      <c r="Y64" s="45">
        <f t="shared" si="100"/>
        <v>0</v>
      </c>
      <c r="Z64" s="45">
        <f t="shared" si="100"/>
        <v>0</v>
      </c>
      <c r="AA64" s="45">
        <f t="shared" si="100"/>
        <v>0</v>
      </c>
      <c r="AB64" s="45">
        <f t="shared" si="100"/>
        <v>0</v>
      </c>
      <c r="AC64" s="45">
        <f t="shared" si="100"/>
        <v>0</v>
      </c>
      <c r="AD64" s="45">
        <f>AD63/9</f>
        <v>0</v>
      </c>
      <c r="AE64" s="45">
        <f>AE63/9</f>
        <v>60.111111111111114</v>
      </c>
      <c r="AF64" s="45">
        <f>AF63/9</f>
        <v>66.666666666666671</v>
      </c>
      <c r="AG64" s="45">
        <f>AG63/9</f>
        <v>56</v>
      </c>
      <c r="AH64" s="45">
        <f>AH63/9</f>
        <v>80.222222222222229</v>
      </c>
      <c r="AI64" s="45">
        <f>+AI63/9</f>
        <v>56</v>
      </c>
      <c r="AJ64" s="45">
        <f>+AJ63/9</f>
        <v>60</v>
      </c>
      <c r="AK64" s="45">
        <f>AK63/9</f>
        <v>68</v>
      </c>
      <c r="AL64" s="45">
        <f>AL63/9</f>
        <v>78.111111111111114</v>
      </c>
      <c r="AM64" s="45">
        <f>AM63/9</f>
        <v>86</v>
      </c>
      <c r="AN64" s="45">
        <f>AN63/9</f>
        <v>88.888888888888886</v>
      </c>
      <c r="AO64" s="45">
        <f>+'Buffer Zone'!U10</f>
        <v>46.5</v>
      </c>
      <c r="AP64" s="45">
        <f>+'Buffer Zone'!V10</f>
        <v>50.25</v>
      </c>
      <c r="AQ64" s="45">
        <f>+'Buffer Zone'!W10</f>
        <v>39.75</v>
      </c>
      <c r="AR64" s="45">
        <f>+'Buffer Zone'!X10</f>
        <v>37.5</v>
      </c>
      <c r="AS64" s="45">
        <f>+'Buffer Zone'!Y10</f>
        <v>30.75</v>
      </c>
      <c r="AT64" s="45">
        <f>+'Buffer Zone'!Z10</f>
        <v>32.25</v>
      </c>
      <c r="AU64" s="45">
        <f>+'Buffer Zone'!AA10</f>
        <v>9</v>
      </c>
      <c r="AV64" s="45">
        <f>+'Buffer Zone'!AB10</f>
        <v>8.25</v>
      </c>
      <c r="AW64" s="45">
        <f>+'Buffer Zone'!AC10</f>
        <v>3.75</v>
      </c>
      <c r="AX64" s="45">
        <f>+'Buffer Zone'!AD10</f>
        <v>6.75</v>
      </c>
      <c r="AY64" s="45">
        <f>+'Buffer Zone'!AE10</f>
        <v>16.125</v>
      </c>
      <c r="AZ64" s="45">
        <f>+'Buffer Zone'!AF10</f>
        <v>9.375</v>
      </c>
      <c r="BA64" s="45">
        <f>+'Buffer Zone'!AG10</f>
        <v>23.25</v>
      </c>
      <c r="BB64" s="45">
        <f>+'Buffer Zone'!AH10</f>
        <v>13.5</v>
      </c>
      <c r="BC64" s="45">
        <f>+'Buffer Zone'!AI10</f>
        <v>15.75</v>
      </c>
      <c r="BD64" s="45">
        <f>+'Buffer Zone'!AJ10</f>
        <v>25.5</v>
      </c>
      <c r="BE64" s="45">
        <f>+'Buffer Zone'!AK10</f>
        <v>88.8</v>
      </c>
      <c r="BF64" s="45">
        <f>+'Buffer Zone'!AL10</f>
        <v>15</v>
      </c>
      <c r="BG64" s="45">
        <f>+'Buffer Zone'!AM10</f>
        <v>6</v>
      </c>
      <c r="BH64" s="45">
        <f>+'Buffer Zone'!AN10</f>
        <v>6.75</v>
      </c>
      <c r="BI64" s="45">
        <f>+'Buffer Zone'!AO10</f>
        <v>20.25</v>
      </c>
      <c r="BJ64" s="45">
        <f>+'Buffer Zone'!AP10</f>
        <v>7.5</v>
      </c>
      <c r="BK64" s="45">
        <f>+'Buffer Zone'!AQ10</f>
        <v>0</v>
      </c>
      <c r="BL64" s="45">
        <f>+'Buffer Zone'!AR10</f>
        <v>21</v>
      </c>
      <c r="BM64" s="45">
        <f>+'Buffer Zone'!AS10</f>
        <v>17.25</v>
      </c>
      <c r="BN64" s="45">
        <f>+'Buffer Zone'!AT10</f>
        <v>20.25</v>
      </c>
      <c r="BO64" s="45">
        <f>+'Buffer Zone'!AU10</f>
        <v>27.75</v>
      </c>
      <c r="BP64" s="45">
        <f>+'Buffer Zone'!AV10</f>
        <v>38.25</v>
      </c>
      <c r="BQ64" s="45">
        <f ca="1">-BQ64</f>
        <v>0</v>
      </c>
      <c r="BR64" s="45">
        <f>+'Buffer Zone'!AW10</f>
        <v>20.25</v>
      </c>
      <c r="BS64" s="45">
        <f>+'Buffer Zone'!AX10</f>
        <v>21</v>
      </c>
      <c r="BT64" s="45">
        <f>+'Buffer Zone'!AY10</f>
        <v>39</v>
      </c>
      <c r="BU64" s="45">
        <f>+'Buffer Zone'!AZ10</f>
        <v>20.666666666666668</v>
      </c>
      <c r="BV64" s="45">
        <f>+'Buffer Zone'!BA10</f>
        <v>38.25</v>
      </c>
      <c r="BW64" s="45">
        <f>+'Buffer Zone'!BB10</f>
        <v>0</v>
      </c>
      <c r="BX64" s="45">
        <f>+'Buffer Zone'!BC10</f>
        <v>36</v>
      </c>
      <c r="BY64" s="45">
        <f>+'Buffer Zone'!BD10</f>
        <v>56.25</v>
      </c>
      <c r="BZ64" s="45"/>
      <c r="CA64" s="45"/>
      <c r="CB64" s="45"/>
      <c r="CC64" s="45"/>
      <c r="CD64" s="45"/>
      <c r="CE64" s="45"/>
      <c r="CF64" s="45"/>
      <c r="CG64" s="45"/>
      <c r="CH64" s="45"/>
      <c r="CI64" s="45"/>
      <c r="CJ64" s="45"/>
      <c r="CK64" s="45"/>
      <c r="CL64" s="45"/>
      <c r="CM64" s="45"/>
      <c r="CN64" s="45"/>
      <c r="CO64" s="45"/>
      <c r="CP64" s="45"/>
      <c r="CQ64" s="45"/>
      <c r="CR64" s="45"/>
      <c r="CS64" s="45"/>
      <c r="CT64" s="45"/>
      <c r="CU64" s="45"/>
      <c r="CV64" s="45"/>
      <c r="CW64" s="45"/>
      <c r="CX64" s="45"/>
      <c r="CY64" s="45"/>
      <c r="CZ64" s="45"/>
      <c r="DA64" s="45"/>
      <c r="DB64" s="45"/>
      <c r="DC64" s="45"/>
      <c r="DD64" s="45"/>
      <c r="DE64" s="45"/>
      <c r="DF64" s="45"/>
      <c r="DG64" s="45"/>
      <c r="DH64" s="45"/>
      <c r="DI64" s="45"/>
      <c r="DJ64" s="45"/>
      <c r="DK64" s="45"/>
      <c r="DL64" s="45"/>
      <c r="DM64" s="45"/>
      <c r="DN64" s="45"/>
      <c r="DO64" s="45"/>
      <c r="DP64" s="45"/>
      <c r="DQ64" s="45"/>
      <c r="DR64" s="45"/>
      <c r="DS64" s="45"/>
      <c r="DT64" s="45"/>
      <c r="DU64" s="45"/>
      <c r="DV64" s="45"/>
      <c r="DW64" s="45"/>
      <c r="DX64" s="45"/>
      <c r="DY64" s="45"/>
      <c r="DZ64" s="45"/>
      <c r="EA64" s="45"/>
      <c r="EB64" s="45"/>
      <c r="EC64" s="45"/>
    </row>
    <row r="65" spans="1:153" x14ac:dyDescent="0.25">
      <c r="A65" s="54"/>
      <c r="B65" s="263" t="s">
        <v>86</v>
      </c>
      <c r="C65" s="263"/>
      <c r="D65" s="263"/>
      <c r="E65" s="263"/>
      <c r="F65" s="263"/>
      <c r="G65" s="263"/>
      <c r="H65" s="157">
        <v>12</v>
      </c>
      <c r="I65" s="157">
        <v>12</v>
      </c>
      <c r="J65" s="157">
        <v>12</v>
      </c>
      <c r="K65" s="157">
        <v>12</v>
      </c>
      <c r="L65" s="157">
        <v>12</v>
      </c>
      <c r="M65" s="157">
        <v>24</v>
      </c>
      <c r="N65" s="157">
        <v>24</v>
      </c>
      <c r="O65" s="157">
        <v>24</v>
      </c>
      <c r="P65" s="157">
        <v>24</v>
      </c>
      <c r="Q65" s="157">
        <v>24</v>
      </c>
      <c r="R65" s="157">
        <v>48</v>
      </c>
      <c r="S65" s="157">
        <v>48</v>
      </c>
      <c r="T65" s="157">
        <v>48</v>
      </c>
      <c r="U65" s="157">
        <v>48</v>
      </c>
      <c r="V65" s="157">
        <v>48</v>
      </c>
      <c r="W65" s="157">
        <v>60</v>
      </c>
      <c r="X65" s="157">
        <v>60</v>
      </c>
      <c r="Y65" s="157">
        <v>60</v>
      </c>
      <c r="Z65" s="157">
        <v>60</v>
      </c>
      <c r="AA65" s="157">
        <v>60</v>
      </c>
      <c r="AB65" s="157">
        <v>72</v>
      </c>
      <c r="AC65" s="157">
        <v>72</v>
      </c>
      <c r="AD65" s="157">
        <v>72</v>
      </c>
      <c r="AE65" s="157">
        <v>72</v>
      </c>
      <c r="AF65" s="157">
        <v>72</v>
      </c>
      <c r="AG65" s="157">
        <v>96</v>
      </c>
      <c r="AH65" s="157">
        <v>96</v>
      </c>
      <c r="AI65" s="157">
        <v>96</v>
      </c>
      <c r="AJ65" s="157">
        <v>96</v>
      </c>
      <c r="AK65" s="157">
        <v>96</v>
      </c>
      <c r="AL65" s="157">
        <v>108</v>
      </c>
      <c r="AM65" s="157">
        <v>108</v>
      </c>
      <c r="AN65" s="157">
        <v>108</v>
      </c>
      <c r="AO65" s="157">
        <v>120</v>
      </c>
      <c r="AP65" s="157">
        <v>120</v>
      </c>
      <c r="AQ65" s="157">
        <v>120</v>
      </c>
      <c r="AR65" s="157">
        <v>120</v>
      </c>
      <c r="AS65" s="157">
        <v>120</v>
      </c>
      <c r="AT65" s="157">
        <v>120</v>
      </c>
      <c r="AU65" s="157">
        <v>120</v>
      </c>
      <c r="AV65" s="157">
        <v>120</v>
      </c>
      <c r="AW65" s="157">
        <v>120</v>
      </c>
      <c r="AX65" s="157">
        <v>120</v>
      </c>
      <c r="AY65" s="157">
        <v>120</v>
      </c>
      <c r="AZ65" s="157">
        <v>120</v>
      </c>
      <c r="BA65" s="157">
        <v>120</v>
      </c>
      <c r="BB65" s="157">
        <v>120</v>
      </c>
      <c r="BC65" s="157">
        <v>120</v>
      </c>
      <c r="BD65" s="157">
        <v>120</v>
      </c>
      <c r="BE65" s="157">
        <v>120</v>
      </c>
      <c r="BF65" s="157">
        <v>120</v>
      </c>
      <c r="BG65" s="157">
        <v>120</v>
      </c>
      <c r="BH65" s="157">
        <v>120</v>
      </c>
      <c r="BI65" s="157">
        <v>120</v>
      </c>
      <c r="BJ65" s="157">
        <v>120</v>
      </c>
      <c r="BK65" s="157">
        <v>120</v>
      </c>
      <c r="BL65" s="157">
        <v>120</v>
      </c>
      <c r="BM65" s="157">
        <v>120</v>
      </c>
      <c r="BN65" s="157">
        <v>120</v>
      </c>
      <c r="BO65" s="157">
        <v>120</v>
      </c>
      <c r="BP65" s="157">
        <v>120</v>
      </c>
      <c r="BQ65" s="157">
        <v>120</v>
      </c>
      <c r="BR65" s="157">
        <v>120</v>
      </c>
      <c r="BS65" s="157">
        <v>120</v>
      </c>
      <c r="BT65" s="157">
        <v>120</v>
      </c>
      <c r="BU65" s="157">
        <v>120</v>
      </c>
      <c r="BV65" s="157">
        <v>120</v>
      </c>
      <c r="BW65" s="157">
        <v>120</v>
      </c>
      <c r="BX65" s="157">
        <v>120</v>
      </c>
      <c r="BY65" s="157">
        <v>120</v>
      </c>
      <c r="BZ65" s="157">
        <v>120</v>
      </c>
      <c r="CA65" s="157">
        <v>120</v>
      </c>
      <c r="CB65" s="157">
        <v>120</v>
      </c>
      <c r="CC65" s="157">
        <v>120</v>
      </c>
      <c r="CD65" s="157">
        <v>120</v>
      </c>
      <c r="CE65" s="157">
        <v>120</v>
      </c>
      <c r="CF65" s="157">
        <v>120</v>
      </c>
      <c r="CG65" s="157">
        <v>120</v>
      </c>
      <c r="CH65" s="157">
        <v>120</v>
      </c>
      <c r="CI65" s="157">
        <v>120</v>
      </c>
      <c r="CJ65" s="157">
        <v>120</v>
      </c>
      <c r="CK65" s="157">
        <v>120</v>
      </c>
      <c r="CL65" s="157">
        <v>108</v>
      </c>
      <c r="CM65" s="157">
        <v>108</v>
      </c>
      <c r="CN65" s="157">
        <v>120</v>
      </c>
      <c r="CO65" s="157">
        <v>120</v>
      </c>
      <c r="CP65" s="157">
        <v>120</v>
      </c>
      <c r="CQ65" s="157">
        <v>120</v>
      </c>
      <c r="CR65" s="157">
        <v>120</v>
      </c>
      <c r="CS65" s="157">
        <v>120</v>
      </c>
      <c r="CT65" s="157">
        <v>120</v>
      </c>
      <c r="CU65" s="157">
        <v>120</v>
      </c>
      <c r="CV65" s="157">
        <v>120</v>
      </c>
      <c r="CW65" s="157">
        <v>120</v>
      </c>
      <c r="CX65" s="157">
        <v>120</v>
      </c>
      <c r="CY65" s="157">
        <v>120</v>
      </c>
      <c r="CZ65" s="157">
        <v>120</v>
      </c>
      <c r="DA65" s="157">
        <v>120</v>
      </c>
      <c r="DB65" s="157">
        <v>120</v>
      </c>
      <c r="DC65" s="157">
        <v>120</v>
      </c>
      <c r="DD65" s="157">
        <v>120</v>
      </c>
      <c r="DE65" s="157">
        <v>120</v>
      </c>
      <c r="DF65" s="157">
        <v>120</v>
      </c>
      <c r="DG65" s="157">
        <v>120</v>
      </c>
      <c r="DH65" s="157">
        <v>120</v>
      </c>
      <c r="DI65" s="157">
        <v>120</v>
      </c>
      <c r="DJ65" s="157">
        <v>120</v>
      </c>
      <c r="DK65" s="157">
        <v>120</v>
      </c>
      <c r="DL65" s="157">
        <v>120</v>
      </c>
      <c r="DM65" s="157">
        <v>120</v>
      </c>
      <c r="DN65" s="157">
        <v>120</v>
      </c>
      <c r="DO65" s="157">
        <v>120</v>
      </c>
      <c r="DP65" s="157">
        <v>120</v>
      </c>
      <c r="DQ65" s="157">
        <v>120</v>
      </c>
      <c r="DR65" s="157">
        <v>120</v>
      </c>
      <c r="DS65" s="157">
        <v>120</v>
      </c>
      <c r="DT65" s="157">
        <v>120</v>
      </c>
      <c r="DU65" s="157">
        <v>120</v>
      </c>
      <c r="DV65" s="157">
        <v>120</v>
      </c>
      <c r="DW65" s="157">
        <v>120</v>
      </c>
      <c r="DX65" s="157">
        <v>120</v>
      </c>
      <c r="DY65" s="157">
        <v>120</v>
      </c>
      <c r="DZ65" s="157">
        <v>120</v>
      </c>
      <c r="EA65" s="157">
        <v>120</v>
      </c>
      <c r="EB65" s="157">
        <v>120</v>
      </c>
      <c r="EC65" s="157">
        <v>120</v>
      </c>
    </row>
    <row r="66" spans="1:153" ht="14.25" customHeight="1" x14ac:dyDescent="0.25"/>
    <row r="67" spans="1:153" ht="5.25" customHeight="1" x14ac:dyDescent="0.25"/>
    <row r="68" spans="1:153" ht="21" customHeight="1" x14ac:dyDescent="0.25">
      <c r="B68" s="264" t="s">
        <v>29</v>
      </c>
      <c r="C68" s="264"/>
      <c r="D68" s="264"/>
      <c r="E68" s="264"/>
      <c r="F68" s="264"/>
      <c r="G68" s="264"/>
      <c r="H68" s="264"/>
      <c r="I68" s="264"/>
      <c r="J68" s="264"/>
      <c r="K68" s="264"/>
      <c r="L68" s="264"/>
      <c r="M68" s="264"/>
      <c r="N68" s="264"/>
      <c r="O68" s="264"/>
      <c r="P68" s="264"/>
      <c r="Q68" s="264"/>
      <c r="R68" s="264"/>
      <c r="S68" s="264"/>
      <c r="T68" s="264"/>
      <c r="U68" s="264"/>
      <c r="V68" s="264"/>
      <c r="W68" s="264"/>
      <c r="X68" s="264"/>
      <c r="Y68" s="264"/>
      <c r="Z68" s="264"/>
      <c r="AA68" s="264"/>
      <c r="AB68" s="264"/>
      <c r="AC68" s="264"/>
      <c r="AD68" s="264"/>
      <c r="AE68" s="264"/>
      <c r="AF68" s="264"/>
      <c r="AG68" s="264"/>
      <c r="AH68" s="264"/>
      <c r="AI68" s="264"/>
      <c r="AJ68" s="264"/>
      <c r="AK68" s="264"/>
      <c r="AL68" s="264"/>
      <c r="AM68" s="264"/>
      <c r="AN68" s="264"/>
      <c r="AO68" s="264"/>
      <c r="AP68" s="264"/>
      <c r="AQ68" s="264"/>
      <c r="AR68" s="264"/>
      <c r="AS68" s="264"/>
      <c r="AT68" s="264"/>
      <c r="AU68" s="264"/>
      <c r="AV68" s="264"/>
      <c r="AW68" s="264"/>
      <c r="AX68" s="264"/>
      <c r="AY68" s="264"/>
      <c r="AZ68" s="264"/>
      <c r="BA68" s="264"/>
      <c r="BB68" s="264"/>
      <c r="BC68" s="264"/>
      <c r="BD68" s="264"/>
      <c r="BE68" s="264"/>
      <c r="BF68" s="264"/>
      <c r="BG68" s="264"/>
      <c r="BH68" s="264"/>
      <c r="BI68" s="264"/>
      <c r="BJ68" s="264"/>
      <c r="BK68" s="264"/>
      <c r="BL68" s="264"/>
      <c r="BM68" s="264"/>
      <c r="BN68" s="264"/>
      <c r="BO68" s="264"/>
      <c r="BP68" s="264"/>
      <c r="BQ68" s="264"/>
      <c r="BR68" s="264"/>
      <c r="BS68" s="264"/>
      <c r="BT68" s="264"/>
      <c r="BU68" s="264"/>
      <c r="BV68" s="264"/>
      <c r="BW68" s="264"/>
      <c r="BX68" s="264"/>
      <c r="BY68" s="264"/>
      <c r="BZ68" s="264"/>
      <c r="CA68" s="264"/>
      <c r="CB68" s="264"/>
      <c r="CC68" s="264"/>
      <c r="CD68" s="264"/>
      <c r="CE68" s="264"/>
      <c r="CF68" s="264"/>
      <c r="CG68" s="264"/>
      <c r="CH68" s="264"/>
      <c r="CI68" s="264"/>
      <c r="CJ68" s="264"/>
      <c r="CK68" s="264"/>
      <c r="CL68" s="264"/>
      <c r="CM68" s="264"/>
      <c r="CN68" s="264"/>
      <c r="CO68" s="264"/>
      <c r="CP68" s="264"/>
      <c r="CQ68" s="264"/>
      <c r="CR68" s="264"/>
      <c r="CS68" s="264"/>
      <c r="CT68" s="264"/>
      <c r="CU68" s="264"/>
      <c r="CV68" s="264"/>
      <c r="CW68" s="264"/>
      <c r="CX68" s="264"/>
      <c r="CY68" s="264"/>
      <c r="CZ68" s="264"/>
      <c r="DA68" s="264"/>
      <c r="DB68" s="264"/>
      <c r="DC68" s="264"/>
      <c r="DD68" s="264"/>
      <c r="DE68" s="264"/>
      <c r="DF68" s="264"/>
      <c r="DG68" s="264"/>
      <c r="DH68" s="264"/>
      <c r="DI68" s="264"/>
      <c r="DJ68" s="264"/>
      <c r="DK68" s="264"/>
      <c r="DL68" s="264"/>
      <c r="DM68" s="264"/>
      <c r="DN68" s="264"/>
      <c r="DO68" s="264"/>
      <c r="DP68" s="264"/>
      <c r="DQ68" s="264"/>
      <c r="DR68" s="264"/>
      <c r="DS68" s="264"/>
      <c r="DT68" s="264"/>
      <c r="DU68" s="264"/>
      <c r="DV68" s="264"/>
      <c r="DW68" s="264"/>
      <c r="DX68" s="264"/>
      <c r="DY68" s="264"/>
      <c r="DZ68" s="264"/>
      <c r="EA68" s="264"/>
      <c r="EB68" s="264"/>
      <c r="EC68" s="264"/>
      <c r="ED68" s="110"/>
    </row>
    <row r="69" spans="1:153" s="2" customFormat="1" ht="18" customHeight="1" x14ac:dyDescent="0.25">
      <c r="B69" s="264"/>
      <c r="C69" s="264"/>
      <c r="D69" s="264"/>
      <c r="E69" s="264"/>
      <c r="F69" s="264"/>
      <c r="G69" s="264"/>
      <c r="H69" s="264"/>
      <c r="I69" s="264"/>
      <c r="J69" s="264"/>
      <c r="K69" s="264"/>
      <c r="L69" s="264"/>
      <c r="M69" s="264"/>
      <c r="N69" s="264"/>
      <c r="O69" s="264"/>
      <c r="P69" s="264"/>
      <c r="Q69" s="264"/>
      <c r="R69" s="264"/>
      <c r="S69" s="264"/>
      <c r="T69" s="264"/>
      <c r="U69" s="264"/>
      <c r="V69" s="264"/>
      <c r="W69" s="264"/>
      <c r="X69" s="264"/>
      <c r="Y69" s="264"/>
      <c r="Z69" s="264"/>
      <c r="AA69" s="264"/>
      <c r="AB69" s="264"/>
      <c r="AC69" s="264"/>
      <c r="AD69" s="264"/>
      <c r="AE69" s="264"/>
      <c r="AF69" s="264"/>
      <c r="AG69" s="264"/>
      <c r="AH69" s="264"/>
      <c r="AI69" s="264"/>
      <c r="AJ69" s="264"/>
      <c r="AK69" s="264"/>
      <c r="AL69" s="264"/>
      <c r="AM69" s="264"/>
      <c r="AN69" s="264"/>
      <c r="AO69" s="264"/>
      <c r="AP69" s="264"/>
      <c r="AQ69" s="264"/>
      <c r="AR69" s="264"/>
      <c r="AS69" s="264"/>
      <c r="AT69" s="264"/>
      <c r="AU69" s="264"/>
      <c r="AV69" s="264"/>
      <c r="AW69" s="264"/>
      <c r="AX69" s="264"/>
      <c r="AY69" s="264"/>
      <c r="AZ69" s="264"/>
      <c r="BA69" s="264"/>
      <c r="BB69" s="264"/>
      <c r="BC69" s="264"/>
      <c r="BD69" s="264"/>
      <c r="BE69" s="264"/>
      <c r="BF69" s="264"/>
      <c r="BG69" s="264"/>
      <c r="BH69" s="264"/>
      <c r="BI69" s="264"/>
      <c r="BJ69" s="264"/>
      <c r="BK69" s="264"/>
      <c r="BL69" s="264"/>
      <c r="BM69" s="264"/>
      <c r="BN69" s="264"/>
      <c r="BO69" s="264"/>
      <c r="BP69" s="264"/>
      <c r="BQ69" s="264"/>
      <c r="BR69" s="264"/>
      <c r="BS69" s="264"/>
      <c r="BT69" s="264"/>
      <c r="BU69" s="264"/>
      <c r="BV69" s="264"/>
      <c r="BW69" s="264"/>
      <c r="BX69" s="264"/>
      <c r="BY69" s="264"/>
      <c r="BZ69" s="264"/>
      <c r="CA69" s="264"/>
      <c r="CB69" s="264"/>
      <c r="CC69" s="264"/>
      <c r="CD69" s="264"/>
      <c r="CE69" s="264"/>
      <c r="CF69" s="264"/>
      <c r="CG69" s="264"/>
      <c r="CH69" s="264"/>
      <c r="CI69" s="264"/>
      <c r="CJ69" s="264"/>
      <c r="CK69" s="264"/>
      <c r="CL69" s="264"/>
      <c r="CM69" s="264"/>
      <c r="CN69" s="264"/>
      <c r="CO69" s="264"/>
      <c r="CP69" s="264"/>
      <c r="CQ69" s="264"/>
      <c r="CR69" s="264"/>
      <c r="CS69" s="264"/>
      <c r="CT69" s="264"/>
      <c r="CU69" s="264"/>
      <c r="CV69" s="264"/>
      <c r="CW69" s="264"/>
      <c r="CX69" s="264"/>
      <c r="CY69" s="264"/>
      <c r="CZ69" s="264"/>
      <c r="DA69" s="264"/>
      <c r="DB69" s="264"/>
      <c r="DC69" s="264"/>
      <c r="DD69" s="264"/>
      <c r="DE69" s="264"/>
      <c r="DF69" s="264"/>
      <c r="DG69" s="264"/>
      <c r="DH69" s="264"/>
      <c r="DI69" s="264"/>
      <c r="DJ69" s="264"/>
      <c r="DK69" s="264"/>
      <c r="DL69" s="264"/>
      <c r="DM69" s="264"/>
      <c r="DN69" s="264"/>
      <c r="DO69" s="264"/>
      <c r="DP69" s="264"/>
      <c r="DQ69" s="264"/>
      <c r="DR69" s="264"/>
      <c r="DS69" s="264"/>
      <c r="DT69" s="264"/>
      <c r="DU69" s="264"/>
      <c r="DV69" s="264"/>
      <c r="DW69" s="264"/>
      <c r="DX69" s="264"/>
      <c r="DY69" s="264"/>
      <c r="DZ69" s="264"/>
      <c r="EA69" s="264"/>
      <c r="EB69" s="264"/>
      <c r="EC69" s="264"/>
      <c r="ED69" s="97"/>
      <c r="ET69"/>
      <c r="EU69"/>
      <c r="EV69"/>
      <c r="EW69"/>
    </row>
    <row r="70" spans="1:153" ht="3" customHeight="1" x14ac:dyDescent="0.25">
      <c r="B70" s="264"/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264"/>
      <c r="P70" s="264"/>
      <c r="Q70" s="264"/>
      <c r="R70" s="264"/>
      <c r="S70" s="264"/>
      <c r="T70" s="264"/>
      <c r="U70" s="264"/>
      <c r="V70" s="264"/>
      <c r="W70" s="264"/>
      <c r="X70" s="264"/>
      <c r="Y70" s="264"/>
      <c r="Z70" s="264"/>
      <c r="AA70" s="264"/>
      <c r="AB70" s="264"/>
      <c r="AC70" s="264"/>
      <c r="AD70" s="264"/>
      <c r="AE70" s="264"/>
      <c r="AF70" s="264"/>
      <c r="AG70" s="264"/>
      <c r="AH70" s="264"/>
      <c r="AI70" s="264"/>
      <c r="AJ70" s="264"/>
      <c r="AK70" s="264"/>
      <c r="AL70" s="264"/>
      <c r="AM70" s="264"/>
      <c r="AN70" s="264"/>
      <c r="AO70" s="264"/>
      <c r="AP70" s="264"/>
      <c r="AQ70" s="264"/>
      <c r="AR70" s="264"/>
      <c r="AS70" s="264"/>
      <c r="AT70" s="264"/>
      <c r="AU70" s="264"/>
      <c r="AV70" s="264"/>
      <c r="AW70" s="264"/>
      <c r="AX70" s="264"/>
      <c r="AY70" s="264"/>
      <c r="AZ70" s="264"/>
      <c r="BA70" s="264"/>
      <c r="BB70" s="264"/>
      <c r="BC70" s="264"/>
      <c r="BD70" s="264"/>
      <c r="BE70" s="264"/>
      <c r="BF70" s="264"/>
      <c r="BG70" s="264"/>
      <c r="BH70" s="264"/>
      <c r="BI70" s="264"/>
      <c r="BJ70" s="264"/>
      <c r="BK70" s="264"/>
      <c r="BL70" s="264"/>
      <c r="BM70" s="264"/>
      <c r="BN70" s="264"/>
      <c r="BO70" s="264"/>
      <c r="BP70" s="264"/>
      <c r="BQ70" s="264"/>
      <c r="BR70" s="264"/>
      <c r="BS70" s="264"/>
      <c r="BT70" s="264"/>
      <c r="BU70" s="264"/>
      <c r="BV70" s="264"/>
      <c r="BW70" s="264"/>
      <c r="BX70" s="264"/>
      <c r="BY70" s="264"/>
      <c r="BZ70" s="264"/>
      <c r="CA70" s="264"/>
      <c r="CB70" s="264"/>
      <c r="CC70" s="264"/>
      <c r="CD70" s="264"/>
      <c r="CE70" s="264"/>
      <c r="CF70" s="264"/>
      <c r="CG70" s="264"/>
      <c r="CH70" s="264"/>
      <c r="CI70" s="264"/>
      <c r="CJ70" s="264"/>
      <c r="CK70" s="264"/>
      <c r="CL70" s="264"/>
      <c r="CM70" s="264"/>
      <c r="CN70" s="264"/>
      <c r="CO70" s="264"/>
      <c r="CP70" s="264"/>
      <c r="CQ70" s="264"/>
      <c r="CR70" s="264"/>
      <c r="CS70" s="264"/>
      <c r="CT70" s="264"/>
      <c r="CU70" s="264"/>
      <c r="CV70" s="264"/>
      <c r="CW70" s="264"/>
      <c r="CX70" s="264"/>
      <c r="CY70" s="264"/>
      <c r="CZ70" s="264"/>
      <c r="DA70" s="264"/>
      <c r="DB70" s="264"/>
      <c r="DC70" s="264"/>
      <c r="DD70" s="264"/>
      <c r="DE70" s="264"/>
      <c r="DF70" s="264"/>
      <c r="DG70" s="264"/>
      <c r="DH70" s="264"/>
      <c r="DI70" s="264"/>
      <c r="DJ70" s="264"/>
      <c r="DK70" s="264"/>
      <c r="DL70" s="264"/>
      <c r="DM70" s="264"/>
      <c r="DN70" s="264"/>
      <c r="DO70" s="264"/>
      <c r="DP70" s="264"/>
      <c r="DQ70" s="264"/>
      <c r="DR70" s="264"/>
      <c r="DS70" s="264"/>
      <c r="DT70" s="264"/>
      <c r="DU70" s="264"/>
      <c r="DV70" s="264"/>
      <c r="DW70" s="264"/>
      <c r="DX70" s="264"/>
      <c r="DY70" s="264"/>
      <c r="DZ70" s="264"/>
      <c r="EA70" s="264"/>
      <c r="EB70" s="264"/>
      <c r="EC70" s="264"/>
      <c r="ED70" s="110"/>
    </row>
    <row r="71" spans="1:153" s="2" customFormat="1" ht="23.25" customHeight="1" x14ac:dyDescent="0.25">
      <c r="A71" s="53"/>
      <c r="B71" s="241" t="s">
        <v>33</v>
      </c>
      <c r="C71" s="241" t="s">
        <v>77</v>
      </c>
      <c r="D71" s="241" t="s">
        <v>79</v>
      </c>
      <c r="E71" s="241" t="s">
        <v>80</v>
      </c>
      <c r="F71" s="241" t="s">
        <v>81</v>
      </c>
      <c r="G71" s="241" t="s">
        <v>17</v>
      </c>
      <c r="H71" s="37" t="s">
        <v>3</v>
      </c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265" t="s">
        <v>16</v>
      </c>
      <c r="AP71" s="265"/>
      <c r="AQ71" s="265"/>
      <c r="AR71" s="265"/>
      <c r="AS71" s="265"/>
      <c r="AT71" s="265"/>
      <c r="AU71" s="265"/>
      <c r="AV71" s="265"/>
      <c r="AW71" s="265"/>
      <c r="AX71" s="265"/>
      <c r="AY71" s="265"/>
      <c r="AZ71" s="265"/>
      <c r="BA71" s="265"/>
      <c r="BB71" s="265"/>
      <c r="BC71" s="265"/>
      <c r="BD71" s="265"/>
      <c r="BE71" s="265"/>
      <c r="BF71" s="265"/>
      <c r="BG71" s="265"/>
      <c r="BH71" s="265"/>
      <c r="BI71" s="265"/>
      <c r="BJ71" s="265"/>
      <c r="BK71" s="265"/>
      <c r="BL71" s="265"/>
      <c r="BM71" s="265"/>
      <c r="BN71" s="265"/>
      <c r="BO71" s="265"/>
      <c r="BP71" s="265"/>
      <c r="BQ71" s="265"/>
      <c r="BR71" s="265"/>
      <c r="BS71" s="265"/>
      <c r="BT71" s="265"/>
      <c r="BU71" s="265"/>
      <c r="BV71" s="265"/>
      <c r="BW71" s="265"/>
      <c r="BX71" s="265"/>
      <c r="BY71" s="265"/>
      <c r="BZ71" s="265"/>
      <c r="CA71" s="265"/>
      <c r="CB71" s="265"/>
      <c r="CC71" s="265"/>
      <c r="CD71" s="265"/>
      <c r="CE71" s="265"/>
      <c r="CF71" s="265"/>
      <c r="CG71" s="265"/>
      <c r="CH71" s="265"/>
      <c r="CI71" s="265"/>
      <c r="CJ71" s="265"/>
      <c r="CK71" s="265"/>
      <c r="CL71" s="265"/>
      <c r="CM71" s="265"/>
      <c r="CN71" s="265"/>
      <c r="CO71" s="265"/>
      <c r="CP71" s="265"/>
      <c r="CQ71" s="265"/>
      <c r="CR71" s="265"/>
      <c r="CS71" s="265"/>
      <c r="CT71" s="265"/>
      <c r="CU71" s="265"/>
      <c r="CV71" s="265"/>
      <c r="CW71" s="265"/>
      <c r="CX71" s="265"/>
      <c r="CY71" s="265"/>
      <c r="CZ71" s="265"/>
      <c r="DA71" s="265"/>
      <c r="DB71" s="265"/>
      <c r="DC71" s="265"/>
      <c r="DD71" s="265"/>
      <c r="DE71" s="265"/>
      <c r="DF71" s="265"/>
      <c r="DG71" s="265"/>
      <c r="DH71" s="265"/>
      <c r="DI71" s="265"/>
      <c r="DJ71" s="265"/>
      <c r="DK71" s="265"/>
      <c r="DL71" s="265"/>
      <c r="DM71" s="265"/>
      <c r="DN71" s="265"/>
      <c r="DO71" s="265"/>
      <c r="DP71" s="265"/>
      <c r="DQ71" s="265"/>
      <c r="DR71" s="265"/>
      <c r="DS71" s="265"/>
      <c r="DT71" s="265"/>
      <c r="DU71" s="265"/>
      <c r="DV71" s="265"/>
      <c r="DW71" s="265"/>
      <c r="DX71" s="265"/>
      <c r="DY71" s="265"/>
      <c r="DZ71" s="265"/>
      <c r="EA71" s="265"/>
      <c r="EB71" s="265"/>
      <c r="EC71" s="265"/>
      <c r="ED71" s="97"/>
      <c r="ET71"/>
      <c r="EU71"/>
      <c r="EV71"/>
      <c r="EW71"/>
    </row>
    <row r="72" spans="1:153" s="2" customFormat="1" ht="23.25" customHeight="1" x14ac:dyDescent="0.25">
      <c r="A72" s="53"/>
      <c r="B72" s="241"/>
      <c r="C72" s="241"/>
      <c r="D72" s="241"/>
      <c r="E72" s="241"/>
      <c r="F72" s="241"/>
      <c r="G72" s="241"/>
      <c r="H72" s="38">
        <v>1</v>
      </c>
      <c r="I72" s="38">
        <v>2</v>
      </c>
      <c r="J72" s="38">
        <v>3</v>
      </c>
      <c r="K72" s="38">
        <v>4</v>
      </c>
      <c r="L72" s="38">
        <v>5</v>
      </c>
      <c r="M72" s="38">
        <f t="shared" ref="M72:AR72" si="101">1+L72</f>
        <v>6</v>
      </c>
      <c r="N72" s="38">
        <f t="shared" si="101"/>
        <v>7</v>
      </c>
      <c r="O72" s="38">
        <f t="shared" si="101"/>
        <v>8</v>
      </c>
      <c r="P72" s="38">
        <f t="shared" si="101"/>
        <v>9</v>
      </c>
      <c r="Q72" s="38">
        <f t="shared" si="101"/>
        <v>10</v>
      </c>
      <c r="R72" s="38">
        <f t="shared" si="101"/>
        <v>11</v>
      </c>
      <c r="S72" s="38">
        <f t="shared" si="101"/>
        <v>12</v>
      </c>
      <c r="T72" s="38">
        <f t="shared" si="101"/>
        <v>13</v>
      </c>
      <c r="U72" s="38">
        <f t="shared" si="101"/>
        <v>14</v>
      </c>
      <c r="V72" s="38">
        <f t="shared" si="101"/>
        <v>15</v>
      </c>
      <c r="W72" s="38">
        <f t="shared" si="101"/>
        <v>16</v>
      </c>
      <c r="X72" s="38">
        <f t="shared" si="101"/>
        <v>17</v>
      </c>
      <c r="Y72" s="38">
        <f t="shared" si="101"/>
        <v>18</v>
      </c>
      <c r="Z72" s="38">
        <f t="shared" si="101"/>
        <v>19</v>
      </c>
      <c r="AA72" s="38">
        <f t="shared" si="101"/>
        <v>20</v>
      </c>
      <c r="AB72" s="38">
        <f t="shared" si="101"/>
        <v>21</v>
      </c>
      <c r="AC72" s="38">
        <f t="shared" si="101"/>
        <v>22</v>
      </c>
      <c r="AD72" s="38">
        <f t="shared" si="101"/>
        <v>23</v>
      </c>
      <c r="AE72" s="38">
        <f t="shared" si="101"/>
        <v>24</v>
      </c>
      <c r="AF72" s="38">
        <f t="shared" si="101"/>
        <v>25</v>
      </c>
      <c r="AG72" s="38">
        <f t="shared" si="101"/>
        <v>26</v>
      </c>
      <c r="AH72" s="38">
        <f t="shared" si="101"/>
        <v>27</v>
      </c>
      <c r="AI72" s="38">
        <f t="shared" si="101"/>
        <v>28</v>
      </c>
      <c r="AJ72" s="38">
        <f t="shared" si="101"/>
        <v>29</v>
      </c>
      <c r="AK72" s="38">
        <f t="shared" si="101"/>
        <v>30</v>
      </c>
      <c r="AL72" s="38">
        <f t="shared" si="101"/>
        <v>31</v>
      </c>
      <c r="AM72" s="38">
        <f t="shared" si="101"/>
        <v>32</v>
      </c>
      <c r="AN72" s="38">
        <f t="shared" si="101"/>
        <v>33</v>
      </c>
      <c r="AO72" s="38">
        <f t="shared" si="101"/>
        <v>34</v>
      </c>
      <c r="AP72" s="38">
        <f t="shared" si="101"/>
        <v>35</v>
      </c>
      <c r="AQ72" s="38">
        <f t="shared" si="101"/>
        <v>36</v>
      </c>
      <c r="AR72" s="38">
        <f t="shared" si="101"/>
        <v>37</v>
      </c>
      <c r="AS72" s="38">
        <f t="shared" ref="AS72:BF72" si="102">1+AR72</f>
        <v>38</v>
      </c>
      <c r="AT72" s="38">
        <f t="shared" si="102"/>
        <v>39</v>
      </c>
      <c r="AU72" s="38">
        <f t="shared" si="102"/>
        <v>40</v>
      </c>
      <c r="AV72" s="38">
        <f t="shared" si="102"/>
        <v>41</v>
      </c>
      <c r="AW72" s="38">
        <f t="shared" si="102"/>
        <v>42</v>
      </c>
      <c r="AX72" s="38">
        <f t="shared" si="102"/>
        <v>43</v>
      </c>
      <c r="AY72" s="38">
        <f t="shared" si="102"/>
        <v>44</v>
      </c>
      <c r="AZ72" s="38">
        <f t="shared" si="102"/>
        <v>45</v>
      </c>
      <c r="BA72" s="38">
        <f t="shared" si="102"/>
        <v>46</v>
      </c>
      <c r="BB72" s="38">
        <f t="shared" si="102"/>
        <v>47</v>
      </c>
      <c r="BC72" s="38">
        <f t="shared" si="102"/>
        <v>48</v>
      </c>
      <c r="BD72" s="38">
        <f t="shared" si="102"/>
        <v>49</v>
      </c>
      <c r="BE72" s="38">
        <f t="shared" si="102"/>
        <v>50</v>
      </c>
      <c r="BF72" s="38">
        <f t="shared" si="102"/>
        <v>51</v>
      </c>
      <c r="BG72" s="38">
        <f t="shared" ref="BG72" si="103">1+BF72</f>
        <v>52</v>
      </c>
      <c r="BH72" s="38">
        <f t="shared" ref="BH72" si="104">1+BG72</f>
        <v>53</v>
      </c>
      <c r="BI72" s="38">
        <f t="shared" ref="BI72" si="105">1+BH72</f>
        <v>54</v>
      </c>
      <c r="BJ72" s="38">
        <f t="shared" ref="BJ72" si="106">1+BI72</f>
        <v>55</v>
      </c>
      <c r="BK72" s="38">
        <f t="shared" ref="BK72" si="107">1+BJ72</f>
        <v>56</v>
      </c>
      <c r="BL72" s="38">
        <f t="shared" ref="BL72" si="108">1+BK72</f>
        <v>57</v>
      </c>
      <c r="BM72" s="38">
        <f t="shared" ref="BM72" si="109">1+BL72</f>
        <v>58</v>
      </c>
      <c r="BN72" s="38">
        <f t="shared" ref="BN72" si="110">1+BM72</f>
        <v>59</v>
      </c>
      <c r="BO72" s="38">
        <f t="shared" ref="BO72" si="111">1+BN72</f>
        <v>60</v>
      </c>
      <c r="BP72" s="38">
        <f t="shared" ref="BP72" si="112">1+BO72</f>
        <v>61</v>
      </c>
      <c r="BQ72" s="38">
        <f t="shared" ref="BQ72" si="113">1+BP72</f>
        <v>62</v>
      </c>
      <c r="BR72" s="38">
        <f t="shared" ref="BR72" si="114">1+BQ72</f>
        <v>63</v>
      </c>
      <c r="BS72" s="38">
        <f t="shared" ref="BS72" si="115">1+BR72</f>
        <v>64</v>
      </c>
      <c r="BT72" s="38">
        <f t="shared" ref="BT72" si="116">1+BS72</f>
        <v>65</v>
      </c>
      <c r="BU72" s="38">
        <f t="shared" ref="BU72" si="117">1+BT72</f>
        <v>66</v>
      </c>
      <c r="BV72" s="38">
        <f t="shared" ref="BV72" si="118">1+BU72</f>
        <v>67</v>
      </c>
      <c r="BW72" s="38">
        <f t="shared" ref="BW72" si="119">1+BV72</f>
        <v>68</v>
      </c>
      <c r="BX72" s="38">
        <f t="shared" ref="BX72" si="120">1+BW72</f>
        <v>69</v>
      </c>
      <c r="BY72" s="38">
        <f t="shared" ref="BY72" si="121">1+BX72</f>
        <v>70</v>
      </c>
      <c r="BZ72" s="38">
        <f t="shared" ref="BZ72" si="122">1+BY72</f>
        <v>71</v>
      </c>
      <c r="CA72" s="38">
        <f t="shared" ref="CA72" si="123">1+BZ72</f>
        <v>72</v>
      </c>
      <c r="CB72" s="38">
        <f t="shared" ref="CB72" si="124">1+CA72</f>
        <v>73</v>
      </c>
      <c r="CC72" s="38">
        <f t="shared" ref="CC72" si="125">1+CB72</f>
        <v>74</v>
      </c>
      <c r="CD72" s="38">
        <f t="shared" ref="CD72" si="126">1+CC72</f>
        <v>75</v>
      </c>
      <c r="CE72" s="38">
        <f t="shared" ref="CE72:DE72" si="127">1+CD72</f>
        <v>76</v>
      </c>
      <c r="CF72" s="38">
        <f t="shared" si="127"/>
        <v>77</v>
      </c>
      <c r="CG72" s="38">
        <f t="shared" si="127"/>
        <v>78</v>
      </c>
      <c r="CH72" s="38">
        <f t="shared" si="127"/>
        <v>79</v>
      </c>
      <c r="CI72" s="38">
        <f t="shared" si="127"/>
        <v>80</v>
      </c>
      <c r="CJ72" s="38">
        <f t="shared" si="127"/>
        <v>81</v>
      </c>
      <c r="CK72" s="38">
        <f t="shared" si="127"/>
        <v>82</v>
      </c>
      <c r="CL72" s="38">
        <f t="shared" si="127"/>
        <v>83</v>
      </c>
      <c r="CM72" s="38">
        <f t="shared" si="127"/>
        <v>84</v>
      </c>
      <c r="CN72" s="38">
        <f t="shared" si="127"/>
        <v>85</v>
      </c>
      <c r="CO72" s="38">
        <f t="shared" si="127"/>
        <v>86</v>
      </c>
      <c r="CP72" s="38">
        <f t="shared" si="127"/>
        <v>87</v>
      </c>
      <c r="CQ72" s="38">
        <f t="shared" si="127"/>
        <v>88</v>
      </c>
      <c r="CR72" s="38">
        <f t="shared" si="127"/>
        <v>89</v>
      </c>
      <c r="CS72" s="38">
        <f t="shared" si="127"/>
        <v>90</v>
      </c>
      <c r="CT72" s="38">
        <f t="shared" si="127"/>
        <v>91</v>
      </c>
      <c r="CU72" s="38">
        <f t="shared" si="127"/>
        <v>92</v>
      </c>
      <c r="CV72" s="38">
        <f t="shared" si="127"/>
        <v>93</v>
      </c>
      <c r="CW72" s="38">
        <f t="shared" si="127"/>
        <v>94</v>
      </c>
      <c r="CX72" s="38">
        <f t="shared" si="127"/>
        <v>95</v>
      </c>
      <c r="CY72" s="38">
        <f t="shared" si="127"/>
        <v>96</v>
      </c>
      <c r="CZ72" s="38">
        <f t="shared" si="127"/>
        <v>97</v>
      </c>
      <c r="DA72" s="38">
        <f t="shared" si="127"/>
        <v>98</v>
      </c>
      <c r="DB72" s="38">
        <f t="shared" si="127"/>
        <v>99</v>
      </c>
      <c r="DC72" s="38">
        <f t="shared" si="127"/>
        <v>100</v>
      </c>
      <c r="DD72" s="38">
        <f t="shared" si="127"/>
        <v>101</v>
      </c>
      <c r="DE72" s="38">
        <f t="shared" si="127"/>
        <v>102</v>
      </c>
      <c r="DF72" s="38">
        <f>1+BF72</f>
        <v>52</v>
      </c>
      <c r="DG72" s="38">
        <f t="shared" ref="DG72:EC72" si="128">1+DF72</f>
        <v>53</v>
      </c>
      <c r="DH72" s="38">
        <f t="shared" si="128"/>
        <v>54</v>
      </c>
      <c r="DI72" s="38">
        <f t="shared" si="128"/>
        <v>55</v>
      </c>
      <c r="DJ72" s="38">
        <f t="shared" si="128"/>
        <v>56</v>
      </c>
      <c r="DK72" s="38">
        <f t="shared" si="128"/>
        <v>57</v>
      </c>
      <c r="DL72" s="38">
        <f t="shared" si="128"/>
        <v>58</v>
      </c>
      <c r="DM72" s="38">
        <f t="shared" si="128"/>
        <v>59</v>
      </c>
      <c r="DN72" s="38">
        <f t="shared" si="128"/>
        <v>60</v>
      </c>
      <c r="DO72" s="38">
        <f t="shared" si="128"/>
        <v>61</v>
      </c>
      <c r="DP72" s="38">
        <f t="shared" si="128"/>
        <v>62</v>
      </c>
      <c r="DQ72" s="38">
        <f t="shared" si="128"/>
        <v>63</v>
      </c>
      <c r="DR72" s="38">
        <f t="shared" si="128"/>
        <v>64</v>
      </c>
      <c r="DS72" s="38">
        <f t="shared" si="128"/>
        <v>65</v>
      </c>
      <c r="DT72" s="38">
        <f t="shared" si="128"/>
        <v>66</v>
      </c>
      <c r="DU72" s="38">
        <f t="shared" si="128"/>
        <v>67</v>
      </c>
      <c r="DV72" s="38">
        <f t="shared" si="128"/>
        <v>68</v>
      </c>
      <c r="DW72" s="38">
        <f t="shared" si="128"/>
        <v>69</v>
      </c>
      <c r="DX72" s="38">
        <f t="shared" si="128"/>
        <v>70</v>
      </c>
      <c r="DY72" s="38">
        <f t="shared" si="128"/>
        <v>71</v>
      </c>
      <c r="DZ72" s="38">
        <f t="shared" si="128"/>
        <v>72</v>
      </c>
      <c r="EA72" s="38">
        <f t="shared" si="128"/>
        <v>73</v>
      </c>
      <c r="EB72" s="38">
        <f t="shared" si="128"/>
        <v>74</v>
      </c>
      <c r="EC72" s="38">
        <f t="shared" si="128"/>
        <v>75</v>
      </c>
      <c r="ET72"/>
      <c r="EU72" s="171"/>
      <c r="EV72"/>
      <c r="EW72"/>
    </row>
    <row r="73" spans="1:153" s="2" customFormat="1" ht="23.25" customHeight="1" x14ac:dyDescent="0.25">
      <c r="A73" s="53"/>
      <c r="B73" s="241"/>
      <c r="C73" s="241"/>
      <c r="D73" s="241"/>
      <c r="E73" s="241"/>
      <c r="F73" s="241"/>
      <c r="G73" s="241"/>
      <c r="H73" s="39">
        <v>46013</v>
      </c>
      <c r="I73" s="39">
        <v>46014</v>
      </c>
      <c r="J73" s="39">
        <v>46015</v>
      </c>
      <c r="K73" s="39">
        <v>46017</v>
      </c>
      <c r="L73" s="39">
        <v>46020</v>
      </c>
      <c r="M73" s="39">
        <v>46021</v>
      </c>
      <c r="N73" s="39">
        <v>46022</v>
      </c>
      <c r="O73" s="39">
        <v>46024</v>
      </c>
      <c r="P73" s="40">
        <v>46027</v>
      </c>
      <c r="Q73" s="40">
        <v>46028</v>
      </c>
      <c r="R73" s="40">
        <v>46029</v>
      </c>
      <c r="S73" s="40">
        <v>46030</v>
      </c>
      <c r="T73" s="40">
        <v>46031</v>
      </c>
      <c r="U73" s="39">
        <v>46034</v>
      </c>
      <c r="V73" s="39">
        <v>46035</v>
      </c>
      <c r="W73" s="39">
        <v>46036</v>
      </c>
      <c r="X73" s="39">
        <v>46037</v>
      </c>
      <c r="Y73" s="39">
        <v>46039</v>
      </c>
      <c r="Z73" s="39">
        <v>46041</v>
      </c>
      <c r="AA73" s="39">
        <v>46042</v>
      </c>
      <c r="AB73" s="39">
        <v>46043</v>
      </c>
      <c r="AC73" s="39">
        <v>46044</v>
      </c>
      <c r="AD73" s="39">
        <v>46045</v>
      </c>
      <c r="AE73" s="39">
        <v>46048</v>
      </c>
      <c r="AF73" s="39">
        <v>46049</v>
      </c>
      <c r="AG73" s="39">
        <v>46050</v>
      </c>
      <c r="AH73" s="39">
        <v>46051</v>
      </c>
      <c r="AI73" s="39">
        <v>46052</v>
      </c>
      <c r="AJ73" s="39">
        <v>46055</v>
      </c>
      <c r="AK73" s="39">
        <v>46056</v>
      </c>
      <c r="AL73" s="39">
        <v>46057</v>
      </c>
      <c r="AM73" s="39">
        <v>46058</v>
      </c>
      <c r="AN73" s="39">
        <v>46059</v>
      </c>
      <c r="AO73" s="39">
        <v>46083</v>
      </c>
      <c r="AP73" s="39">
        <v>46084</v>
      </c>
      <c r="AQ73" s="39">
        <v>46085</v>
      </c>
      <c r="AR73" s="39">
        <v>46086</v>
      </c>
      <c r="AS73" s="39">
        <v>46087</v>
      </c>
      <c r="AT73" s="39">
        <v>46090</v>
      </c>
      <c r="AU73" s="39">
        <v>46091</v>
      </c>
      <c r="AV73" s="39">
        <v>46092</v>
      </c>
      <c r="AW73" s="39">
        <v>46093</v>
      </c>
      <c r="AX73" s="39">
        <v>46094</v>
      </c>
      <c r="AY73" s="39">
        <v>46097</v>
      </c>
      <c r="AZ73" s="39">
        <v>46098</v>
      </c>
      <c r="BA73" s="39">
        <v>46099</v>
      </c>
      <c r="BB73" s="39">
        <v>46106</v>
      </c>
      <c r="BC73" s="39">
        <v>46107</v>
      </c>
      <c r="BD73" s="39">
        <v>46108</v>
      </c>
      <c r="BE73" s="39">
        <v>46109</v>
      </c>
      <c r="BF73" s="39">
        <v>46111</v>
      </c>
      <c r="BG73" s="39">
        <v>45747</v>
      </c>
      <c r="BH73" s="39">
        <v>46113</v>
      </c>
      <c r="BI73" s="39">
        <v>46114</v>
      </c>
      <c r="BJ73" s="39">
        <v>46115</v>
      </c>
      <c r="BK73" s="39">
        <v>46116</v>
      </c>
      <c r="BL73" s="39">
        <v>46118</v>
      </c>
      <c r="BM73" s="39">
        <v>46119</v>
      </c>
      <c r="BN73" s="39">
        <v>46120</v>
      </c>
      <c r="BO73" s="39">
        <v>46121</v>
      </c>
      <c r="BP73" s="39">
        <v>46122</v>
      </c>
      <c r="BQ73" s="39">
        <v>46123</v>
      </c>
      <c r="BR73" s="39">
        <v>46125</v>
      </c>
      <c r="BS73" s="39">
        <v>46126</v>
      </c>
      <c r="BT73" s="39">
        <v>46127</v>
      </c>
      <c r="BU73" s="39">
        <v>46128</v>
      </c>
      <c r="BV73" s="39">
        <v>46129</v>
      </c>
      <c r="BW73" s="39">
        <v>46130</v>
      </c>
      <c r="BX73" s="39">
        <v>46132</v>
      </c>
      <c r="BY73" s="39">
        <v>46133</v>
      </c>
      <c r="BZ73" s="39">
        <v>46134</v>
      </c>
      <c r="CA73" s="39">
        <v>46135</v>
      </c>
      <c r="CB73" s="39">
        <v>46136</v>
      </c>
      <c r="CC73" s="39">
        <v>46137</v>
      </c>
      <c r="CD73" s="39">
        <v>46138</v>
      </c>
      <c r="CE73" s="39">
        <v>46139</v>
      </c>
      <c r="CF73" s="39">
        <v>46140</v>
      </c>
      <c r="CG73" s="39">
        <v>46141</v>
      </c>
      <c r="CH73" s="39">
        <v>46142</v>
      </c>
      <c r="CI73" s="39">
        <v>46143</v>
      </c>
      <c r="CJ73" s="39">
        <v>46144</v>
      </c>
      <c r="CK73" s="39">
        <v>46145</v>
      </c>
      <c r="CL73" s="39">
        <v>46145</v>
      </c>
      <c r="CM73" s="39">
        <v>45779</v>
      </c>
      <c r="CN73" s="39">
        <v>45780</v>
      </c>
      <c r="CO73" s="39">
        <v>45781</v>
      </c>
      <c r="CP73" s="39">
        <v>45782</v>
      </c>
      <c r="CQ73" s="39">
        <v>45783</v>
      </c>
      <c r="CR73" s="39">
        <v>45784</v>
      </c>
      <c r="CS73" s="39">
        <v>45785</v>
      </c>
      <c r="CT73" s="39">
        <v>45786</v>
      </c>
      <c r="CU73" s="39">
        <v>45787</v>
      </c>
      <c r="CV73" s="39">
        <v>45788</v>
      </c>
      <c r="CW73" s="39">
        <v>45789</v>
      </c>
      <c r="CX73" s="39">
        <v>45790</v>
      </c>
      <c r="CY73" s="39">
        <v>45791</v>
      </c>
      <c r="CZ73" s="39">
        <v>45792</v>
      </c>
      <c r="DA73" s="39">
        <v>45793</v>
      </c>
      <c r="DB73" s="39">
        <v>45794</v>
      </c>
      <c r="DC73" s="39">
        <v>45795</v>
      </c>
      <c r="DD73" s="39">
        <v>45796</v>
      </c>
      <c r="DE73" s="39">
        <v>45797</v>
      </c>
      <c r="DF73" s="39">
        <v>45798</v>
      </c>
      <c r="DG73" s="39">
        <v>45799</v>
      </c>
      <c r="DH73" s="39">
        <v>45800</v>
      </c>
      <c r="DI73" s="39">
        <v>45801</v>
      </c>
      <c r="DJ73" s="39">
        <v>45802</v>
      </c>
      <c r="DK73" s="39">
        <v>45803</v>
      </c>
      <c r="DL73" s="39">
        <v>45804</v>
      </c>
      <c r="DM73" s="39">
        <v>45805</v>
      </c>
      <c r="DN73" s="39">
        <v>45806</v>
      </c>
      <c r="DO73" s="39">
        <v>45807</v>
      </c>
      <c r="DP73" s="39">
        <v>45808</v>
      </c>
      <c r="DQ73" s="39">
        <v>45809</v>
      </c>
      <c r="DR73" s="39">
        <v>45810</v>
      </c>
      <c r="DS73" s="39">
        <v>45811</v>
      </c>
      <c r="DT73" s="39">
        <v>45812</v>
      </c>
      <c r="DU73" s="39">
        <v>45813</v>
      </c>
      <c r="DV73" s="39">
        <v>45814</v>
      </c>
      <c r="DW73" s="39">
        <v>45815</v>
      </c>
      <c r="DX73" s="39">
        <v>45816</v>
      </c>
      <c r="DY73" s="39">
        <v>45817</v>
      </c>
      <c r="DZ73" s="39">
        <v>45818</v>
      </c>
      <c r="EA73" s="39">
        <v>45819</v>
      </c>
      <c r="EB73" s="39">
        <v>45820</v>
      </c>
      <c r="EC73" s="39">
        <v>45821</v>
      </c>
      <c r="ET73"/>
      <c r="EU73" s="171"/>
      <c r="EV73"/>
      <c r="EW73"/>
    </row>
    <row r="74" spans="1:153" ht="23.25" customHeight="1" x14ac:dyDescent="0.25">
      <c r="A74" s="54"/>
      <c r="B74" s="262" t="s">
        <v>19</v>
      </c>
      <c r="C74" s="238" t="s">
        <v>78</v>
      </c>
      <c r="D74" s="238">
        <v>37</v>
      </c>
      <c r="E74" s="238">
        <v>36</v>
      </c>
      <c r="F74" s="239">
        <f>+E74-D74</f>
        <v>-1</v>
      </c>
      <c r="G74" s="135" t="s">
        <v>10</v>
      </c>
      <c r="H74" s="144">
        <v>468</v>
      </c>
      <c r="I74" s="144">
        <v>522</v>
      </c>
      <c r="J74" s="144">
        <v>300</v>
      </c>
      <c r="K74" s="145"/>
      <c r="L74" s="144">
        <v>276</v>
      </c>
      <c r="M74" s="144">
        <v>540</v>
      </c>
      <c r="N74" s="144">
        <v>444</v>
      </c>
      <c r="O74" s="144">
        <v>462</v>
      </c>
      <c r="P74" s="144">
        <v>600</v>
      </c>
      <c r="Q74" s="144">
        <v>582</v>
      </c>
      <c r="R74" s="144">
        <v>429</v>
      </c>
      <c r="S74" s="146"/>
      <c r="T74" s="146"/>
      <c r="U74" s="146"/>
      <c r="V74" s="145"/>
      <c r="W74" s="145"/>
      <c r="X74" s="145"/>
      <c r="Y74" s="145"/>
      <c r="Z74" s="146"/>
      <c r="AA74" s="145"/>
      <c r="AB74" s="146"/>
      <c r="AC74" s="146"/>
      <c r="AD74" s="147"/>
      <c r="AE74" s="147">
        <v>600</v>
      </c>
      <c r="AF74" s="145">
        <v>600</v>
      </c>
      <c r="AG74" s="145">
        <v>612</v>
      </c>
      <c r="AH74" s="145">
        <v>672</v>
      </c>
      <c r="AI74" s="145">
        <v>348</v>
      </c>
      <c r="AJ74" s="146">
        <v>468</v>
      </c>
      <c r="AK74" s="145">
        <v>552</v>
      </c>
      <c r="AL74" s="146">
        <v>316</v>
      </c>
      <c r="AM74" s="148">
        <v>503</v>
      </c>
      <c r="AN74" s="146">
        <v>690</v>
      </c>
      <c r="AO74" s="146">
        <f>+'Cell 4 603'!BB15</f>
        <v>1155</v>
      </c>
      <c r="AP74" s="146">
        <f>+'Cell 4 603'!BC15</f>
        <v>610</v>
      </c>
      <c r="AQ74" s="146">
        <f>+'Cell 4 603'!BD15</f>
        <v>52</v>
      </c>
      <c r="AR74" s="149">
        <f>+'Cell 4 603'!BE15</f>
        <v>0</v>
      </c>
      <c r="AS74" s="149">
        <f>+'Cell 4 603'!BF15</f>
        <v>0</v>
      </c>
      <c r="AT74" s="149">
        <f>+'Cell 4 603'!BG15</f>
        <v>0</v>
      </c>
      <c r="AU74" s="150">
        <f>+'Cell 4 603'!BH15</f>
        <v>970</v>
      </c>
      <c r="AV74" s="150">
        <f>+'Cell 4 603'!BI15</f>
        <v>994</v>
      </c>
      <c r="AW74" s="150">
        <f>+'Cell 4 603'!BJ15</f>
        <v>147</v>
      </c>
      <c r="AX74" s="150">
        <f>+'Cell 4 603'!BK15</f>
        <v>887</v>
      </c>
      <c r="AY74" s="150">
        <f>+'Cell 4 603'!BL15</f>
        <v>1046</v>
      </c>
      <c r="AZ74" s="150">
        <f>+'Cell 4 603'!BM15</f>
        <v>0</v>
      </c>
      <c r="BA74" s="150">
        <f>+'Cell 4 603'!BN15</f>
        <v>561</v>
      </c>
      <c r="BB74" s="150">
        <f>+'Cell 4 603'!BO15</f>
        <v>0</v>
      </c>
      <c r="BC74" s="150">
        <f>+'Cell 4 603'!BP15</f>
        <v>82</v>
      </c>
      <c r="BD74" s="150">
        <f>+'Cell 4 603'!BQ15</f>
        <v>970</v>
      </c>
      <c r="BE74" s="150">
        <f>+'Cell 4 603'!BR15</f>
        <v>181</v>
      </c>
      <c r="BF74" s="151">
        <f>+'Cell 4 603'!BS15</f>
        <v>1052</v>
      </c>
      <c r="BG74" s="151">
        <f>+'Cell 4 603'!BT15</f>
        <v>1065</v>
      </c>
      <c r="BH74" s="151">
        <f>+'Cell 4 603'!BU15</f>
        <v>822</v>
      </c>
      <c r="BI74" s="151">
        <f>+'Cell 4 603'!BV15</f>
        <v>464</v>
      </c>
      <c r="BJ74" s="151">
        <f>+'Cell 4 603'!BW15</f>
        <v>145</v>
      </c>
      <c r="BK74" s="151">
        <f>+'Cell 4 603'!BX15</f>
        <v>145</v>
      </c>
      <c r="BL74" s="151">
        <f>+'Cell 4 603'!BY15</f>
        <v>675</v>
      </c>
      <c r="BM74" s="151">
        <f>+'Cell 4 603'!BZ15</f>
        <v>765</v>
      </c>
      <c r="BN74" s="151">
        <f>+'Cell 4 603'!CA15</f>
        <v>611</v>
      </c>
      <c r="BO74" s="151">
        <f>+'Cell 4 603'!CB15</f>
        <v>600</v>
      </c>
      <c r="BP74" s="151">
        <f>+'Cell 4 603'!CC15</f>
        <v>880</v>
      </c>
      <c r="BQ74" s="151">
        <f>+'Cell 4 603'!CD15</f>
        <v>0</v>
      </c>
      <c r="BR74" s="151">
        <f>+'Cell 4 603'!CE15</f>
        <v>1005</v>
      </c>
      <c r="BS74" s="151">
        <f>+'Cell 4 603'!CF15</f>
        <v>710</v>
      </c>
      <c r="BT74" s="151">
        <f>+'Cell 4 603'!CG15</f>
        <v>1012</v>
      </c>
      <c r="BU74" s="151">
        <f>+'Cell 4 603'!CH15</f>
        <v>815</v>
      </c>
      <c r="BV74" s="151">
        <f>+'Cell 4 603'!CI15</f>
        <v>775</v>
      </c>
      <c r="BW74" s="151">
        <f>+'Cell 4 603'!CJ15</f>
        <v>610</v>
      </c>
      <c r="BX74" s="151">
        <f>+'Cell 4 603'!CK15</f>
        <v>919</v>
      </c>
      <c r="BY74" s="151">
        <f>+'Cell 4 603'!CL15</f>
        <v>935</v>
      </c>
      <c r="BZ74" s="145"/>
      <c r="CA74" s="146"/>
      <c r="CB74" s="146"/>
      <c r="CC74" s="147"/>
      <c r="CD74" s="147"/>
      <c r="CE74" s="145"/>
      <c r="CF74" s="145"/>
      <c r="CG74" s="145"/>
      <c r="CH74" s="145"/>
      <c r="CI74" s="146"/>
      <c r="CJ74" s="145"/>
      <c r="CK74" s="146"/>
      <c r="CL74" s="148"/>
      <c r="CM74" s="146"/>
      <c r="CN74" s="146"/>
      <c r="CO74" s="146"/>
      <c r="CP74" s="146"/>
      <c r="CQ74" s="149"/>
      <c r="CR74" s="149"/>
      <c r="CS74" s="149"/>
      <c r="CT74" s="150"/>
      <c r="CU74" s="150"/>
      <c r="CV74" s="150"/>
      <c r="CW74" s="150"/>
      <c r="CX74" s="150"/>
      <c r="CY74" s="150"/>
      <c r="CZ74" s="150"/>
      <c r="DA74" s="150"/>
      <c r="DB74" s="150"/>
      <c r="DC74" s="150"/>
      <c r="DD74" s="150"/>
      <c r="DE74" s="151"/>
      <c r="DF74" s="146"/>
      <c r="DG74" s="146"/>
      <c r="DH74" s="149"/>
      <c r="DI74" s="149"/>
      <c r="DJ74" s="146"/>
      <c r="DK74" s="146"/>
      <c r="DL74" s="146"/>
      <c r="DM74" s="146"/>
      <c r="DN74" s="146"/>
      <c r="DO74" s="146"/>
      <c r="DP74" s="146"/>
      <c r="DQ74" s="146"/>
      <c r="DR74" s="146"/>
      <c r="DS74" s="146"/>
      <c r="DT74" s="146"/>
      <c r="DU74" s="146"/>
      <c r="DV74" s="146"/>
      <c r="DW74" s="146"/>
      <c r="DX74" s="146"/>
      <c r="DY74" s="146"/>
      <c r="DZ74" s="146"/>
      <c r="EA74" s="146"/>
      <c r="EB74" s="146"/>
      <c r="EC74" s="149"/>
      <c r="EU74" s="171"/>
    </row>
    <row r="75" spans="1:153" ht="23.25" customHeight="1" x14ac:dyDescent="0.25">
      <c r="A75" s="54"/>
      <c r="B75" s="262"/>
      <c r="C75" s="238"/>
      <c r="D75" s="238"/>
      <c r="E75" s="238"/>
      <c r="F75" s="240"/>
      <c r="G75" s="135" t="s">
        <v>6</v>
      </c>
      <c r="H75" s="45">
        <f>H74/8</f>
        <v>58.5</v>
      </c>
      <c r="I75" s="45">
        <f>I74/8</f>
        <v>65.25</v>
      </c>
      <c r="J75" s="45">
        <f>J74/10</f>
        <v>30</v>
      </c>
      <c r="K75" s="45">
        <f>K74/8</f>
        <v>0</v>
      </c>
      <c r="L75" s="45">
        <f>+L74/8</f>
        <v>34.5</v>
      </c>
      <c r="M75" s="45">
        <f>+M74/8</f>
        <v>67.5</v>
      </c>
      <c r="N75" s="45">
        <f>N74/10</f>
        <v>44.4</v>
      </c>
      <c r="O75" s="46">
        <f>O74/10</f>
        <v>46.2</v>
      </c>
      <c r="P75" s="46">
        <f>P74/10</f>
        <v>60</v>
      </c>
      <c r="Q75" s="46">
        <f>Q74/10</f>
        <v>58.2</v>
      </c>
      <c r="R75" s="45">
        <f>SUM(R74:R74)/8</f>
        <v>53.625</v>
      </c>
      <c r="S75" s="45">
        <f>S74/8</f>
        <v>0</v>
      </c>
      <c r="T75" s="45">
        <f>T74/8</f>
        <v>0</v>
      </c>
      <c r="U75" s="45">
        <f>U74/8</f>
        <v>0</v>
      </c>
      <c r="V75" s="45">
        <f>V74/8</f>
        <v>0</v>
      </c>
      <c r="W75" s="45">
        <f>W74/8</f>
        <v>0</v>
      </c>
      <c r="X75" s="45">
        <f t="shared" ref="X75:AC75" si="129">SUM(X74:X74)/8</f>
        <v>0</v>
      </c>
      <c r="Y75" s="45">
        <f t="shared" si="129"/>
        <v>0</v>
      </c>
      <c r="Z75" s="45">
        <f t="shared" si="129"/>
        <v>0</v>
      </c>
      <c r="AA75" s="45">
        <f t="shared" si="129"/>
        <v>0</v>
      </c>
      <c r="AB75" s="45">
        <f t="shared" si="129"/>
        <v>0</v>
      </c>
      <c r="AC75" s="45">
        <f t="shared" si="129"/>
        <v>0</v>
      </c>
      <c r="AD75" s="45">
        <f>AD74/8</f>
        <v>0</v>
      </c>
      <c r="AE75" s="45">
        <f>AE74/8</f>
        <v>75</v>
      </c>
      <c r="AF75" s="45">
        <f>AF74/8</f>
        <v>75</v>
      </c>
      <c r="AG75" s="45">
        <f>AG74/10</f>
        <v>61.2</v>
      </c>
      <c r="AH75" s="45">
        <f>AH74/8</f>
        <v>84</v>
      </c>
      <c r="AI75" s="45">
        <f>+AI74/8</f>
        <v>43.5</v>
      </c>
      <c r="AJ75" s="45">
        <f>+AJ74/8</f>
        <v>58.5</v>
      </c>
      <c r="AK75" s="45">
        <f>AK74/9</f>
        <v>61.333333333333336</v>
      </c>
      <c r="AL75" s="45">
        <f>AL74/8</f>
        <v>39.5</v>
      </c>
      <c r="AM75" s="45">
        <f>AM74/8</f>
        <v>62.875</v>
      </c>
      <c r="AN75" s="45">
        <f>SUM(AN74:AN74)/8</f>
        <v>86.25</v>
      </c>
      <c r="AO75" s="45">
        <f>+'Cell 4 603'!BB16</f>
        <v>128.33333333333334</v>
      </c>
      <c r="AP75" s="45">
        <f>+'Cell 4 603'!BC16</f>
        <v>61</v>
      </c>
      <c r="AQ75" s="45">
        <f>+'Cell 4 603'!BD16</f>
        <v>5.7777777777777777</v>
      </c>
      <c r="AR75" s="45">
        <f>+'Cell 4 603'!BE16</f>
        <v>0</v>
      </c>
      <c r="AS75" s="45">
        <f>+'Cell 4 603'!BF16</f>
        <v>0</v>
      </c>
      <c r="AT75" s="45">
        <f>+'Cell 4 603'!BG16</f>
        <v>0</v>
      </c>
      <c r="AU75" s="45">
        <f>+'Cell 4 603'!BH16</f>
        <v>107.77777777777777</v>
      </c>
      <c r="AV75" s="45">
        <f>+'Cell 4 603'!BI16</f>
        <v>110.44444444444444</v>
      </c>
      <c r="AW75" s="45">
        <f>+'Cell 4 603'!BJ16</f>
        <v>16.333333333333332</v>
      </c>
      <c r="AX75" s="45">
        <f>+'Cell 4 603'!BK16</f>
        <v>98.555555555555557</v>
      </c>
      <c r="AY75" s="45">
        <f>+'Cell 4 603'!BL16</f>
        <v>130.75</v>
      </c>
      <c r="AZ75" s="45">
        <f>+'Cell 4 603'!BM16</f>
        <v>0</v>
      </c>
      <c r="BA75" s="45">
        <f>+'Cell 4 603'!BN16</f>
        <v>62.333333333333336</v>
      </c>
      <c r="BB75" s="45">
        <f>+'Cell 4 603'!BO16</f>
        <v>0</v>
      </c>
      <c r="BC75" s="45">
        <f>+'Cell 4 603'!BP16</f>
        <v>9.1111111111111107</v>
      </c>
      <c r="BD75" s="45">
        <f>+'Cell 4 603'!BQ16</f>
        <v>107.77777777777777</v>
      </c>
      <c r="BE75" s="45">
        <f>+'Cell 4 603'!BR16</f>
        <v>25.857142857142858</v>
      </c>
      <c r="BF75" s="45">
        <f>+'Cell 4 603'!BS16</f>
        <v>87.666666666666671</v>
      </c>
      <c r="BG75" s="45">
        <f>+'Cell 4 603'!BT16</f>
        <v>96.818181818181813</v>
      </c>
      <c r="BH75" s="45">
        <f>+'Cell 4 603'!BU16</f>
        <v>74.727272727272734</v>
      </c>
      <c r="BI75" s="45">
        <f>+'Cell 4 603'!BV16</f>
        <v>42.18181818181818</v>
      </c>
      <c r="BJ75" s="45">
        <f>+'Cell 4 603'!BW16</f>
        <v>13.181818181818182</v>
      </c>
      <c r="BK75" s="45">
        <f>+'Cell 4 603'!BX16</f>
        <v>13.181818181818182</v>
      </c>
      <c r="BL75" s="45">
        <f>+'Cell 4 603'!BY16</f>
        <v>61.363636363636367</v>
      </c>
      <c r="BM75" s="45">
        <f>+'Cell 4 603'!BZ16</f>
        <v>63.75</v>
      </c>
      <c r="BN75" s="45">
        <f>+'Cell 4 603'!CA16</f>
        <v>50.916666666666664</v>
      </c>
      <c r="BO75" s="45">
        <f>+'Cell 4 603'!CB16</f>
        <v>60</v>
      </c>
      <c r="BP75" s="45">
        <f>+'Cell 4 603'!CC16</f>
        <v>73.333333333333329</v>
      </c>
      <c r="BQ75" s="45">
        <f>+'Cell 4 603'!CD16</f>
        <v>0</v>
      </c>
      <c r="BR75" s="45">
        <f>+'Cell 4 603'!CE16</f>
        <v>91.36363636363636</v>
      </c>
      <c r="BS75" s="45">
        <f>+'Cell 4 603'!CF16</f>
        <v>71</v>
      </c>
      <c r="BT75" s="45">
        <f>+'Cell 4 603'!CG16</f>
        <v>101.2</v>
      </c>
      <c r="BU75" s="45">
        <f>+'Cell 4 603'!CH16</f>
        <v>81.5</v>
      </c>
      <c r="BV75" s="45">
        <f>+'Cell 4 603'!CI16</f>
        <v>77.5</v>
      </c>
      <c r="BW75" s="45">
        <f>+'Cell 4 603'!CJ16</f>
        <v>61</v>
      </c>
      <c r="BX75" s="45">
        <f>+'Cell 4 603'!CK16</f>
        <v>91.9</v>
      </c>
      <c r="BY75" s="45">
        <f>+'Cell 4 603'!CL16</f>
        <v>77.916666666666671</v>
      </c>
      <c r="BZ75" s="45"/>
      <c r="CA75" s="45"/>
      <c r="CB75" s="45"/>
      <c r="CC75" s="45"/>
      <c r="CD75" s="45"/>
      <c r="CE75" s="45"/>
      <c r="CF75" s="45"/>
      <c r="CG75" s="45"/>
      <c r="CH75" s="45"/>
      <c r="CI75" s="45"/>
      <c r="CJ75" s="45"/>
      <c r="CK75" s="45"/>
      <c r="CL75" s="45"/>
      <c r="CM75" s="45"/>
      <c r="CN75" s="45"/>
      <c r="CO75" s="45"/>
      <c r="CP75" s="45"/>
      <c r="CQ75" s="45"/>
      <c r="CR75" s="45"/>
      <c r="CS75" s="45"/>
      <c r="CT75" s="45"/>
      <c r="CU75" s="45"/>
      <c r="CV75" s="45"/>
      <c r="CW75" s="45"/>
      <c r="CX75" s="45"/>
      <c r="CY75" s="45"/>
      <c r="CZ75" s="45"/>
      <c r="DA75" s="45"/>
      <c r="DB75" s="45"/>
      <c r="DC75" s="45"/>
      <c r="DD75" s="45"/>
      <c r="DE75" s="45"/>
      <c r="DF75" s="45"/>
      <c r="DG75" s="45"/>
      <c r="DH75" s="45"/>
      <c r="DI75" s="45"/>
      <c r="DJ75" s="45"/>
      <c r="DK75" s="45"/>
      <c r="DL75" s="45"/>
      <c r="DM75" s="45"/>
      <c r="DN75" s="45"/>
      <c r="DO75" s="45"/>
      <c r="DP75" s="45"/>
      <c r="DQ75" s="45"/>
      <c r="DR75" s="45"/>
      <c r="DS75" s="45"/>
      <c r="DT75" s="45"/>
      <c r="DU75" s="45"/>
      <c r="DV75" s="45"/>
      <c r="DW75" s="45"/>
      <c r="DX75" s="45"/>
      <c r="DY75" s="45"/>
      <c r="DZ75" s="45"/>
      <c r="EA75" s="45"/>
      <c r="EB75" s="45"/>
      <c r="EC75" s="45"/>
      <c r="EU75" s="171"/>
    </row>
    <row r="76" spans="1:153" s="12" customFormat="1" ht="23.25" customHeight="1" x14ac:dyDescent="0.25">
      <c r="A76" s="55"/>
      <c r="B76" s="238" t="s">
        <v>21</v>
      </c>
      <c r="C76" s="238" t="s">
        <v>78</v>
      </c>
      <c r="D76" s="238">
        <v>37</v>
      </c>
      <c r="E76" s="238">
        <v>37</v>
      </c>
      <c r="F76" s="239">
        <f t="shared" ref="F76" si="130">+E76-D76</f>
        <v>0</v>
      </c>
      <c r="G76" s="135" t="str">
        <f>G74</f>
        <v>Output/Day</v>
      </c>
      <c r="H76" s="144">
        <v>126</v>
      </c>
      <c r="I76" s="144">
        <v>150</v>
      </c>
      <c r="J76" s="144">
        <v>144</v>
      </c>
      <c r="K76" s="153"/>
      <c r="L76" s="144">
        <v>222</v>
      </c>
      <c r="M76" s="144">
        <v>246</v>
      </c>
      <c r="N76" s="144">
        <v>216</v>
      </c>
      <c r="O76" s="144">
        <v>246</v>
      </c>
      <c r="P76" s="144">
        <v>246</v>
      </c>
      <c r="Q76" s="144">
        <v>288</v>
      </c>
      <c r="R76" s="144">
        <v>342</v>
      </c>
      <c r="S76" s="154"/>
      <c r="T76" s="154"/>
      <c r="U76" s="153"/>
      <c r="V76" s="153"/>
      <c r="W76" s="153"/>
      <c r="X76" s="153"/>
      <c r="Y76" s="153"/>
      <c r="Z76" s="154"/>
      <c r="AA76" s="153"/>
      <c r="AB76" s="154"/>
      <c r="AC76" s="154"/>
      <c r="AD76" s="153"/>
      <c r="AE76" s="153">
        <v>528</v>
      </c>
      <c r="AF76" s="153">
        <v>566</v>
      </c>
      <c r="AG76" s="153">
        <v>467</v>
      </c>
      <c r="AH76" s="153">
        <v>442</v>
      </c>
      <c r="AI76" s="153">
        <v>449</v>
      </c>
      <c r="AJ76" s="154">
        <v>583</v>
      </c>
      <c r="AK76" s="154">
        <v>692</v>
      </c>
      <c r="AL76" s="154">
        <v>714</v>
      </c>
      <c r="AM76" s="154">
        <v>774</v>
      </c>
      <c r="AN76" s="154">
        <v>798</v>
      </c>
      <c r="AO76" s="148">
        <f>+'Cell 5 603'!AS15</f>
        <v>1080</v>
      </c>
      <c r="AP76" s="148">
        <f>+'Cell 5 603'!AT15</f>
        <v>1065</v>
      </c>
      <c r="AQ76" s="148">
        <f>+'Cell 5 603'!AU15</f>
        <v>755</v>
      </c>
      <c r="AR76" s="148">
        <f>+'Cell 5 603'!AV15</f>
        <v>811</v>
      </c>
      <c r="AS76" s="148">
        <f>+'Cell 5 603'!AW15</f>
        <v>905</v>
      </c>
      <c r="AT76" s="148">
        <f>+'Cell 5 603'!AX15</f>
        <v>830</v>
      </c>
      <c r="AU76" s="148">
        <f>+'Cell 5 603'!AY15</f>
        <v>1021</v>
      </c>
      <c r="AV76" s="148">
        <f>+'Cell 5 603'!AZ15</f>
        <v>940</v>
      </c>
      <c r="AW76" s="148">
        <f>+'Cell 5 603'!BA15</f>
        <v>885</v>
      </c>
      <c r="AX76" s="148">
        <f>+'Cell 5 603'!BB15</f>
        <v>1009</v>
      </c>
      <c r="AY76" s="148">
        <f>+'Cell 5 603'!BC15</f>
        <v>995</v>
      </c>
      <c r="AZ76" s="148">
        <f>+'Cell 5 603'!BD15</f>
        <v>960</v>
      </c>
      <c r="BA76" s="148">
        <f>+'Cell 5 603'!BE15</f>
        <v>656</v>
      </c>
      <c r="BB76" s="148">
        <f>+'Cell 5 603'!BF15</f>
        <v>1000</v>
      </c>
      <c r="BC76" s="148">
        <f>+'Cell 5 603'!BG15</f>
        <v>1046</v>
      </c>
      <c r="BD76" s="148">
        <f>+'Cell 5 603'!BH15</f>
        <v>920</v>
      </c>
      <c r="BE76" s="148">
        <f>+'Cell 5 603'!BI15</f>
        <v>450</v>
      </c>
      <c r="BF76" s="148">
        <f>+'Cell 5 603'!BJ15</f>
        <v>1175</v>
      </c>
      <c r="BG76" s="148">
        <f>+'Cell 5 603'!BK15</f>
        <v>973</v>
      </c>
      <c r="BH76" s="148">
        <f>+'Cell 5 603'!BL15</f>
        <v>1093</v>
      </c>
      <c r="BI76" s="148">
        <f>+'Cell 5 603'!BM15</f>
        <v>598</v>
      </c>
      <c r="BJ76" s="148">
        <f>+'Cell 5 603'!BN15</f>
        <v>442</v>
      </c>
      <c r="BK76" s="148">
        <f>+'Cell 5 603'!BO15</f>
        <v>442</v>
      </c>
      <c r="BL76" s="148">
        <f>+'Cell 5 603'!BP15</f>
        <v>773</v>
      </c>
      <c r="BM76" s="148">
        <f>+'Cell 5 603'!BQ15</f>
        <v>985</v>
      </c>
      <c r="BN76" s="148">
        <f>+'Cell 5 603'!BR15</f>
        <v>785</v>
      </c>
      <c r="BO76" s="148">
        <f>+'Cell 5 603'!BS15</f>
        <v>570</v>
      </c>
      <c r="BP76" s="152">
        <f>+'Cell 5 603'!BT15</f>
        <v>870</v>
      </c>
      <c r="BQ76" s="152">
        <f>+'Cell 5 603'!BU15</f>
        <v>757</v>
      </c>
      <c r="BR76" s="166">
        <f>+'Cell 5 603'!BV15</f>
        <v>915</v>
      </c>
      <c r="BS76" s="168">
        <f>+'Cell 5 603'!BW15</f>
        <v>945</v>
      </c>
      <c r="BT76" s="172">
        <f>+'Cell 5 603'!BX15</f>
        <v>1040</v>
      </c>
      <c r="BU76" s="172">
        <f>+'Cell 5 603'!BY15</f>
        <v>807</v>
      </c>
      <c r="BV76" s="172">
        <f>+'Cell 5 603'!BZ15</f>
        <v>908</v>
      </c>
      <c r="BW76" s="172">
        <f>+'Cell 5 603'!CA15</f>
        <v>616</v>
      </c>
      <c r="BX76" s="172">
        <f>+'Cell 5 603'!CB15</f>
        <v>1002</v>
      </c>
      <c r="BY76" s="172">
        <f>+'Cell 5 603'!CC15</f>
        <v>976</v>
      </c>
      <c r="BZ76" s="153"/>
      <c r="CA76" s="154"/>
      <c r="CB76" s="154"/>
      <c r="CC76" s="153"/>
      <c r="CD76" s="153"/>
      <c r="CE76" s="153"/>
      <c r="CF76" s="153"/>
      <c r="CG76" s="153"/>
      <c r="CH76" s="153"/>
      <c r="CI76" s="154"/>
      <c r="CJ76" s="154"/>
      <c r="CK76" s="154"/>
      <c r="CL76" s="154"/>
      <c r="CM76" s="154"/>
      <c r="CN76" s="148"/>
      <c r="CO76" s="148"/>
      <c r="CP76" s="148"/>
      <c r="CQ76" s="148"/>
      <c r="CR76" s="148"/>
      <c r="CS76" s="148"/>
      <c r="CT76" s="148"/>
      <c r="CU76" s="148"/>
      <c r="CV76" s="148"/>
      <c r="CW76" s="148"/>
      <c r="CX76" s="148"/>
      <c r="CY76" s="148"/>
      <c r="CZ76" s="148"/>
      <c r="DA76" s="148"/>
      <c r="DB76" s="148"/>
      <c r="DC76" s="148"/>
      <c r="DD76" s="148"/>
      <c r="DE76" s="148"/>
      <c r="DF76" s="148"/>
      <c r="DG76" s="148"/>
      <c r="DH76" s="148"/>
      <c r="DI76" s="148"/>
      <c r="DJ76" s="148"/>
      <c r="DK76" s="148"/>
      <c r="DL76" s="148"/>
      <c r="DM76" s="148"/>
      <c r="DN76" s="148"/>
      <c r="DO76" s="148"/>
      <c r="DP76" s="148"/>
      <c r="DQ76" s="148"/>
      <c r="DR76" s="148"/>
      <c r="DS76" s="148"/>
      <c r="DT76" s="148"/>
      <c r="DU76" s="148"/>
      <c r="DV76" s="148"/>
      <c r="DW76" s="148"/>
      <c r="DX76" s="148"/>
      <c r="DY76" s="148"/>
      <c r="DZ76" s="148"/>
      <c r="EA76" s="148"/>
      <c r="EB76" s="148"/>
      <c r="EC76" s="148"/>
      <c r="ET76"/>
      <c r="EU76"/>
      <c r="EV76"/>
      <c r="EW76"/>
    </row>
    <row r="77" spans="1:153" ht="23.25" customHeight="1" x14ac:dyDescent="0.25">
      <c r="A77" s="54"/>
      <c r="B77" s="238"/>
      <c r="C77" s="238"/>
      <c r="D77" s="238"/>
      <c r="E77" s="238"/>
      <c r="F77" s="240"/>
      <c r="G77" s="135" t="s">
        <v>6</v>
      </c>
      <c r="H77" s="45">
        <f>H76/9</f>
        <v>14</v>
      </c>
      <c r="I77" s="45">
        <f>I76/9</f>
        <v>16.666666666666668</v>
      </c>
      <c r="J77" s="45">
        <f>J76/10</f>
        <v>14.4</v>
      </c>
      <c r="K77" s="45">
        <f>K76/9</f>
        <v>0</v>
      </c>
      <c r="L77" s="45">
        <f>+L76/9</f>
        <v>24.666666666666668</v>
      </c>
      <c r="M77" s="45">
        <f>+M76/9</f>
        <v>27.333333333333332</v>
      </c>
      <c r="N77" s="45">
        <f>N76/10</f>
        <v>21.6</v>
      </c>
      <c r="O77" s="45">
        <f>O76/10</f>
        <v>24.6</v>
      </c>
      <c r="P77" s="45">
        <f>P76/10</f>
        <v>24.6</v>
      </c>
      <c r="Q77" s="45">
        <f>Q76/10</f>
        <v>28.8</v>
      </c>
      <c r="R77" s="45">
        <f>SUM(R76:R76)/8</f>
        <v>42.75</v>
      </c>
      <c r="S77" s="45">
        <f>S76/8</f>
        <v>0</v>
      </c>
      <c r="T77" s="45">
        <f>T76/8</f>
        <v>0</v>
      </c>
      <c r="U77" s="45">
        <f>U76/8</f>
        <v>0</v>
      </c>
      <c r="V77" s="45">
        <f>V76/8</f>
        <v>0</v>
      </c>
      <c r="W77" s="45">
        <f>W76/8</f>
        <v>0</v>
      </c>
      <c r="X77" s="45">
        <f t="shared" ref="X77:AC77" si="131">SUM(X76:X76)/8</f>
        <v>0</v>
      </c>
      <c r="Y77" s="45">
        <f t="shared" si="131"/>
        <v>0</v>
      </c>
      <c r="Z77" s="45">
        <f t="shared" si="131"/>
        <v>0</v>
      </c>
      <c r="AA77" s="45">
        <f t="shared" si="131"/>
        <v>0</v>
      </c>
      <c r="AB77" s="45">
        <f t="shared" si="131"/>
        <v>0</v>
      </c>
      <c r="AC77" s="45">
        <f t="shared" si="131"/>
        <v>0</v>
      </c>
      <c r="AD77" s="45">
        <f>AD76/9</f>
        <v>0</v>
      </c>
      <c r="AE77" s="45">
        <f>AE76/9</f>
        <v>58.666666666666664</v>
      </c>
      <c r="AF77" s="45">
        <f>AF76/9</f>
        <v>62.888888888888886</v>
      </c>
      <c r="AG77" s="45">
        <f>AG76/10</f>
        <v>46.7</v>
      </c>
      <c r="AH77" s="45">
        <f>AH76/9</f>
        <v>49.111111111111114</v>
      </c>
      <c r="AI77" s="45">
        <f>+AI76/9</f>
        <v>49.888888888888886</v>
      </c>
      <c r="AJ77" s="45">
        <f>+AJ76/9</f>
        <v>64.777777777777771</v>
      </c>
      <c r="AK77" s="45">
        <f>AK76/9</f>
        <v>76.888888888888886</v>
      </c>
      <c r="AL77" s="45">
        <f>AL76/9</f>
        <v>79.333333333333329</v>
      </c>
      <c r="AM77" s="45">
        <f>AM76/9</f>
        <v>86</v>
      </c>
      <c r="AN77" s="45">
        <f>AN76/9</f>
        <v>88.666666666666671</v>
      </c>
      <c r="AO77" s="45">
        <f>+'Cell 5 603'!AS16</f>
        <v>120</v>
      </c>
      <c r="AP77" s="45">
        <f>+'Cell 5 603'!AT16</f>
        <v>106.5</v>
      </c>
      <c r="AQ77" s="45">
        <f>+'Cell 5 603'!AU16</f>
        <v>83.888888888888886</v>
      </c>
      <c r="AR77" s="45">
        <f>+'Cell 5 603'!AV16</f>
        <v>90.111111111111114</v>
      </c>
      <c r="AS77" s="45">
        <f>+'Cell 5 603'!AW16</f>
        <v>100.55555555555556</v>
      </c>
      <c r="AT77" s="45">
        <f>+'Cell 5 603'!AX16</f>
        <v>92.222222222222229</v>
      </c>
      <c r="AU77" s="45">
        <f>+'Cell 5 603'!AY16</f>
        <v>113.44444444444444</v>
      </c>
      <c r="AV77" s="45">
        <f>+'Cell 5 603'!AZ16</f>
        <v>104.44444444444444</v>
      </c>
      <c r="AW77" s="45">
        <f>+'Cell 5 603'!BA16</f>
        <v>98.333333333333329</v>
      </c>
      <c r="AX77" s="45">
        <f>+'Cell 5 603'!BB16</f>
        <v>112.11111111111111</v>
      </c>
      <c r="AY77" s="45">
        <f>+'Cell 5 603'!BC16</f>
        <v>110.55555555555556</v>
      </c>
      <c r="AZ77" s="45">
        <f>+'Cell 5 603'!BD16</f>
        <v>106.66666666666667</v>
      </c>
      <c r="BA77" s="45">
        <f>+'Cell 5 603'!BE16</f>
        <v>72.888888888888886</v>
      </c>
      <c r="BB77" s="45">
        <f>+'Cell 5 603'!BF16</f>
        <v>111.11111111111111</v>
      </c>
      <c r="BC77" s="45">
        <f>+'Cell 5 603'!BG16</f>
        <v>116.22222222222223</v>
      </c>
      <c r="BD77" s="45">
        <f>+'Cell 5 603'!BH16</f>
        <v>102.22222222222223</v>
      </c>
      <c r="BE77" s="45">
        <f>+'Cell 5 603'!BI16</f>
        <v>64.285714285714292</v>
      </c>
      <c r="BF77" s="45">
        <f>+'Cell 5 603'!BJ16</f>
        <v>97.916666666666671</v>
      </c>
      <c r="BG77" s="45">
        <f>+'Cell 5 603'!BK16</f>
        <v>97.3</v>
      </c>
      <c r="BH77" s="45">
        <f>+'Cell 5 603'!BL16</f>
        <v>99.36363636363636</v>
      </c>
      <c r="BI77" s="45">
        <f>+'Cell 5 603'!BM16</f>
        <v>54.363636363636367</v>
      </c>
      <c r="BJ77" s="45">
        <f>+'Cell 5 603'!BN16</f>
        <v>40.18181818181818</v>
      </c>
      <c r="BK77" s="45">
        <f>+'Cell 5 603'!BO16</f>
        <v>40.18181818181818</v>
      </c>
      <c r="BL77" s="45">
        <f>+'Cell 5 603'!BP16</f>
        <v>70.272727272727266</v>
      </c>
      <c r="BM77" s="45">
        <f>+'Cell 5 603'!BQ16</f>
        <v>89.545454545454547</v>
      </c>
      <c r="BN77" s="45">
        <f>+'Cell 5 603'!BR16</f>
        <v>71.36363636363636</v>
      </c>
      <c r="BO77" s="45">
        <f>+'Cell 5 603'!BS16</f>
        <v>51.81818181818182</v>
      </c>
      <c r="BP77" s="45">
        <f>+'Cell 5 603'!BT16</f>
        <v>79.090909090909093</v>
      </c>
      <c r="BQ77" s="45">
        <f>+'Cell 5 603'!BU16</f>
        <v>84.111111111111114</v>
      </c>
      <c r="BR77" s="45">
        <f>+'Cell 5 603'!BV16</f>
        <v>83.181818181818187</v>
      </c>
      <c r="BS77" s="45">
        <f>+'Cell 5 603'!BW16</f>
        <v>94.5</v>
      </c>
      <c r="BT77" s="45">
        <f>+'Cell 5 603'!BX16</f>
        <v>94.545454545454547</v>
      </c>
      <c r="BU77" s="45">
        <f>+'Cell 5 603'!BY16</f>
        <v>80.7</v>
      </c>
      <c r="BV77" s="45">
        <f>+'Cell 5 603'!BZ16</f>
        <v>82.545454545454547</v>
      </c>
      <c r="BW77" s="45">
        <f>+'Cell 5 603'!CA16</f>
        <v>56</v>
      </c>
      <c r="BX77" s="45">
        <f>+'Cell 5 603'!CB16</f>
        <v>91.090909090909093</v>
      </c>
      <c r="BY77" s="45">
        <f>+'Cell 5 603'!CC16</f>
        <v>88.727272727272734</v>
      </c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45"/>
      <c r="CV77" s="45"/>
      <c r="CW77" s="45"/>
      <c r="CX77" s="45"/>
      <c r="CY77" s="45"/>
      <c r="CZ77" s="45"/>
      <c r="DA77" s="45"/>
      <c r="DB77" s="45"/>
      <c r="DC77" s="45"/>
      <c r="DD77" s="45"/>
      <c r="DE77" s="45"/>
      <c r="DF77" s="45"/>
      <c r="DG77" s="45"/>
      <c r="DH77" s="45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45"/>
      <c r="DW77" s="45"/>
      <c r="DX77" s="45"/>
      <c r="DY77" s="45"/>
      <c r="DZ77" s="45"/>
      <c r="EA77" s="45"/>
      <c r="EB77" s="45"/>
      <c r="EC77" s="45"/>
    </row>
    <row r="78" spans="1:153" ht="23.25" customHeight="1" x14ac:dyDescent="0.25">
      <c r="A78" s="54"/>
      <c r="B78" s="262" t="s">
        <v>35</v>
      </c>
      <c r="C78" s="238" t="s">
        <v>85</v>
      </c>
      <c r="D78" s="238">
        <v>37</v>
      </c>
      <c r="E78" s="238">
        <v>37</v>
      </c>
      <c r="F78" s="239">
        <f>+E78-D78</f>
        <v>0</v>
      </c>
      <c r="G78" s="237" t="s">
        <v>10</v>
      </c>
      <c r="H78" s="144">
        <v>468</v>
      </c>
      <c r="I78" s="144">
        <v>522</v>
      </c>
      <c r="J78" s="144">
        <v>300</v>
      </c>
      <c r="K78" s="145"/>
      <c r="L78" s="144">
        <v>276</v>
      </c>
      <c r="M78" s="144">
        <v>540</v>
      </c>
      <c r="N78" s="144">
        <v>444</v>
      </c>
      <c r="O78" s="144">
        <v>462</v>
      </c>
      <c r="P78" s="144">
        <v>600</v>
      </c>
      <c r="Q78" s="144">
        <v>582</v>
      </c>
      <c r="R78" s="144">
        <v>429</v>
      </c>
      <c r="S78" s="146"/>
      <c r="T78" s="146"/>
      <c r="U78" s="146"/>
      <c r="V78" s="145"/>
      <c r="W78" s="145"/>
      <c r="X78" s="145"/>
      <c r="Y78" s="145"/>
      <c r="Z78" s="146"/>
      <c r="AA78" s="145"/>
      <c r="AB78" s="146"/>
      <c r="AC78" s="146"/>
      <c r="AD78" s="147"/>
      <c r="AE78" s="147">
        <v>600</v>
      </c>
      <c r="AF78" s="145">
        <v>600</v>
      </c>
      <c r="AG78" s="145">
        <v>612</v>
      </c>
      <c r="AH78" s="145">
        <v>672</v>
      </c>
      <c r="AI78" s="145">
        <v>348</v>
      </c>
      <c r="AJ78" s="146">
        <v>468</v>
      </c>
      <c r="AK78" s="145">
        <v>552</v>
      </c>
      <c r="AL78" s="146">
        <v>316</v>
      </c>
      <c r="AM78" s="172">
        <v>503</v>
      </c>
      <c r="AN78" s="146">
        <v>690</v>
      </c>
      <c r="AO78" s="146">
        <f>+'Cell 4 603'!BB19</f>
        <v>0</v>
      </c>
      <c r="AP78" s="146">
        <f>+'Cell 4 603'!BC19</f>
        <v>0</v>
      </c>
      <c r="AQ78" s="146">
        <f>+'Cell 4 603'!BD19</f>
        <v>0</v>
      </c>
      <c r="AR78" s="149">
        <f>+'Cell 4 603'!BE19</f>
        <v>0</v>
      </c>
      <c r="AS78" s="149">
        <f>+'Cell 4 603'!BF19</f>
        <v>0</v>
      </c>
      <c r="AT78" s="149">
        <f>+'Cell 4 603'!BG19</f>
        <v>0</v>
      </c>
      <c r="AU78" s="150">
        <f>+'Cell 4 603'!BH19</f>
        <v>0</v>
      </c>
      <c r="AV78" s="150">
        <f>+'Cell 4 603'!BI19</f>
        <v>0</v>
      </c>
      <c r="AW78" s="150">
        <f>+'Cell 4 603'!BJ19</f>
        <v>0</v>
      </c>
      <c r="AX78" s="150">
        <f>+'Cell 4 603'!BK19</f>
        <v>0</v>
      </c>
      <c r="AY78" s="150">
        <f>+'Cell 4 603'!BL19</f>
        <v>0</v>
      </c>
      <c r="AZ78" s="150">
        <f>+'Cell 4 603'!BM19</f>
        <v>0</v>
      </c>
      <c r="BA78" s="150">
        <f>+'Cell 4 603'!BN19</f>
        <v>0</v>
      </c>
      <c r="BB78" s="150">
        <f>+'Cell 4 603'!BO19</f>
        <v>0</v>
      </c>
      <c r="BC78" s="150">
        <f>+'Cell 4 603'!BP19</f>
        <v>0</v>
      </c>
      <c r="BD78" s="150">
        <f>+'Cell 4 603'!BQ19</f>
        <v>0</v>
      </c>
      <c r="BE78" s="150">
        <f>+'Cell 4 603'!BR19</f>
        <v>0</v>
      </c>
      <c r="BF78" s="151">
        <f>+'Cell 4 603'!BS19</f>
        <v>0</v>
      </c>
      <c r="BG78" s="151">
        <f>+'Cell 4 603'!BT19</f>
        <v>0</v>
      </c>
      <c r="BH78" s="151">
        <f>+'Cell 4 603'!BU19</f>
        <v>0</v>
      </c>
      <c r="BI78" s="151">
        <f>+'Cell 4 603'!BV19</f>
        <v>0</v>
      </c>
      <c r="BJ78" s="151">
        <f>+'Cell 4 603'!BW19</f>
        <v>0</v>
      </c>
      <c r="BK78" s="151">
        <f>+'Cell 4 603'!BX19</f>
        <v>0</v>
      </c>
      <c r="BL78" s="151">
        <f>+'Cell 4 603'!BY19</f>
        <v>0</v>
      </c>
      <c r="BM78" s="151">
        <f>+'Cell 4 603'!BZ19</f>
        <v>0</v>
      </c>
      <c r="BN78" s="151">
        <f>+'Cell 4 603'!CA19</f>
        <v>0</v>
      </c>
      <c r="BO78" s="151">
        <f>+'Cell 4 603'!CB19</f>
        <v>0</v>
      </c>
      <c r="BP78" s="151"/>
      <c r="BQ78" s="151"/>
      <c r="BR78" s="151"/>
      <c r="BS78" s="151"/>
      <c r="BT78" s="151"/>
      <c r="BU78" s="151"/>
      <c r="BV78" s="151"/>
      <c r="BW78" s="151"/>
      <c r="BX78" s="151">
        <f>+'Cell 9 603'!T15</f>
        <v>119</v>
      </c>
      <c r="BY78" s="151">
        <f>+'Cell 9 603'!U15</f>
        <v>534</v>
      </c>
      <c r="BZ78" s="145"/>
      <c r="CA78" s="146"/>
      <c r="CB78" s="146"/>
      <c r="CC78" s="147"/>
      <c r="CD78" s="147"/>
      <c r="CE78" s="145"/>
      <c r="CF78" s="145"/>
      <c r="CG78" s="145"/>
      <c r="CH78" s="145"/>
      <c r="CI78" s="146"/>
      <c r="CJ78" s="145"/>
      <c r="CK78" s="146"/>
      <c r="CL78" s="172"/>
      <c r="CM78" s="146"/>
      <c r="CN78" s="146"/>
      <c r="CO78" s="146"/>
      <c r="CP78" s="146"/>
      <c r="CQ78" s="149"/>
      <c r="CR78" s="149"/>
      <c r="CS78" s="149"/>
      <c r="CT78" s="150"/>
      <c r="CU78" s="150"/>
      <c r="CV78" s="150"/>
      <c r="CW78" s="150"/>
      <c r="CX78" s="150"/>
      <c r="CY78" s="150"/>
      <c r="CZ78" s="150"/>
      <c r="DA78" s="150"/>
      <c r="DB78" s="150"/>
      <c r="DC78" s="150"/>
      <c r="DD78" s="150"/>
      <c r="DE78" s="151"/>
      <c r="DF78" s="146"/>
      <c r="DG78" s="146"/>
      <c r="DH78" s="149"/>
      <c r="DI78" s="149"/>
      <c r="DJ78" s="146"/>
      <c r="DK78" s="146"/>
      <c r="DL78" s="146"/>
      <c r="DM78" s="146"/>
      <c r="DN78" s="146"/>
      <c r="DO78" s="146"/>
      <c r="DP78" s="146"/>
      <c r="DQ78" s="146"/>
      <c r="DR78" s="146"/>
      <c r="DS78" s="146"/>
      <c r="DT78" s="146"/>
      <c r="DU78" s="146"/>
      <c r="DV78" s="146"/>
      <c r="DW78" s="146"/>
      <c r="DX78" s="146"/>
      <c r="DY78" s="146"/>
      <c r="DZ78" s="146"/>
      <c r="EA78" s="146"/>
      <c r="EB78" s="146"/>
      <c r="EC78" s="149"/>
      <c r="EU78" s="171"/>
    </row>
    <row r="79" spans="1:153" ht="23.25" customHeight="1" x14ac:dyDescent="0.25">
      <c r="A79" s="54"/>
      <c r="B79" s="262"/>
      <c r="C79" s="238"/>
      <c r="D79" s="238"/>
      <c r="E79" s="238"/>
      <c r="F79" s="240"/>
      <c r="G79" s="237" t="s">
        <v>6</v>
      </c>
      <c r="H79" s="45">
        <f>H78/8</f>
        <v>58.5</v>
      </c>
      <c r="I79" s="45">
        <f>I78/8</f>
        <v>65.25</v>
      </c>
      <c r="J79" s="45">
        <f>J78/10</f>
        <v>30</v>
      </c>
      <c r="K79" s="45">
        <f>K78/8</f>
        <v>0</v>
      </c>
      <c r="L79" s="45">
        <f>+L78/8</f>
        <v>34.5</v>
      </c>
      <c r="M79" s="45">
        <f>+M78/8</f>
        <v>67.5</v>
      </c>
      <c r="N79" s="45">
        <f>N78/10</f>
        <v>44.4</v>
      </c>
      <c r="O79" s="46">
        <f>O78/10</f>
        <v>46.2</v>
      </c>
      <c r="P79" s="46">
        <f>P78/10</f>
        <v>60</v>
      </c>
      <c r="Q79" s="46">
        <f>Q78/10</f>
        <v>58.2</v>
      </c>
      <c r="R79" s="45">
        <f>SUM(R78:R78)/8</f>
        <v>53.625</v>
      </c>
      <c r="S79" s="45">
        <f>S78/8</f>
        <v>0</v>
      </c>
      <c r="T79" s="45">
        <f>T78/8</f>
        <v>0</v>
      </c>
      <c r="U79" s="45">
        <f>U78/8</f>
        <v>0</v>
      </c>
      <c r="V79" s="45">
        <f>V78/8</f>
        <v>0</v>
      </c>
      <c r="W79" s="45">
        <f>W78/8</f>
        <v>0</v>
      </c>
      <c r="X79" s="45">
        <f t="shared" ref="X79:AC79" si="132">SUM(X78:X78)/8</f>
        <v>0</v>
      </c>
      <c r="Y79" s="45">
        <f t="shared" si="132"/>
        <v>0</v>
      </c>
      <c r="Z79" s="45">
        <f t="shared" si="132"/>
        <v>0</v>
      </c>
      <c r="AA79" s="45">
        <f t="shared" si="132"/>
        <v>0</v>
      </c>
      <c r="AB79" s="45">
        <f t="shared" si="132"/>
        <v>0</v>
      </c>
      <c r="AC79" s="45">
        <f t="shared" si="132"/>
        <v>0</v>
      </c>
      <c r="AD79" s="45">
        <f>AD78/8</f>
        <v>0</v>
      </c>
      <c r="AE79" s="45">
        <f>AE78/8</f>
        <v>75</v>
      </c>
      <c r="AF79" s="45">
        <f>AF78/8</f>
        <v>75</v>
      </c>
      <c r="AG79" s="45">
        <f>AG78/10</f>
        <v>61.2</v>
      </c>
      <c r="AH79" s="45">
        <f>AH78/8</f>
        <v>84</v>
      </c>
      <c r="AI79" s="45">
        <f>+AI78/8</f>
        <v>43.5</v>
      </c>
      <c r="AJ79" s="45">
        <f>+AJ78/8</f>
        <v>58.5</v>
      </c>
      <c r="AK79" s="45">
        <f>AK78/9</f>
        <v>61.333333333333336</v>
      </c>
      <c r="AL79" s="45">
        <f>AL78/8</f>
        <v>39.5</v>
      </c>
      <c r="AM79" s="45">
        <f>AM78/8</f>
        <v>62.875</v>
      </c>
      <c r="AN79" s="45">
        <f>SUM(AN78:AN78)/8</f>
        <v>86.25</v>
      </c>
      <c r="AO79" s="45">
        <f>+'Cell 4 603'!BB20</f>
        <v>0</v>
      </c>
      <c r="AP79" s="45">
        <f>+'Cell 4 603'!BC20</f>
        <v>0</v>
      </c>
      <c r="AQ79" s="45">
        <f>+'Cell 4 603'!BD20</f>
        <v>0</v>
      </c>
      <c r="AR79" s="45">
        <f>+'Cell 4 603'!BE20</f>
        <v>0</v>
      </c>
      <c r="AS79" s="45">
        <f>+'Cell 4 603'!BF20</f>
        <v>0</v>
      </c>
      <c r="AT79" s="45">
        <f>+'Cell 4 603'!BG20</f>
        <v>0</v>
      </c>
      <c r="AU79" s="45">
        <f>+'Cell 4 603'!BH20</f>
        <v>0</v>
      </c>
      <c r="AV79" s="45">
        <f>+'Cell 4 603'!BI20</f>
        <v>0</v>
      </c>
      <c r="AW79" s="45">
        <f>+'Cell 4 603'!BJ20</f>
        <v>0</v>
      </c>
      <c r="AX79" s="45">
        <f>+'Cell 4 603'!BK20</f>
        <v>0</v>
      </c>
      <c r="AY79" s="45">
        <f>+'Cell 4 603'!BL20</f>
        <v>0</v>
      </c>
      <c r="AZ79" s="45">
        <f>+'Cell 4 603'!BM20</f>
        <v>0</v>
      </c>
      <c r="BA79" s="45">
        <f>+'Cell 4 603'!BN20</f>
        <v>0</v>
      </c>
      <c r="BB79" s="45">
        <f>+'Cell 4 603'!BO20</f>
        <v>0</v>
      </c>
      <c r="BC79" s="45">
        <f>+'Cell 4 603'!BP20</f>
        <v>0</v>
      </c>
      <c r="BD79" s="45">
        <f>+'Cell 4 603'!BQ20</f>
        <v>0</v>
      </c>
      <c r="BE79" s="45">
        <f>+'Cell 4 603'!BR20</f>
        <v>0</v>
      </c>
      <c r="BF79" s="45">
        <f>+'Cell 4 603'!BS20</f>
        <v>0</v>
      </c>
      <c r="BG79" s="45">
        <f>+'Cell 4 603'!BT20</f>
        <v>0</v>
      </c>
      <c r="BH79" s="45">
        <f>+'Cell 4 603'!BU20</f>
        <v>0</v>
      </c>
      <c r="BI79" s="45">
        <f>+'Cell 4 603'!BV20</f>
        <v>0</v>
      </c>
      <c r="BJ79" s="45">
        <f>+'Cell 4 603'!BW20</f>
        <v>0</v>
      </c>
      <c r="BK79" s="45">
        <f>+'Cell 4 603'!BX20</f>
        <v>0</v>
      </c>
      <c r="BL79" s="45">
        <f>+'Cell 4 603'!BY20</f>
        <v>0</v>
      </c>
      <c r="BM79" s="45">
        <f>+'Cell 4 603'!BZ20</f>
        <v>0</v>
      </c>
      <c r="BN79" s="45">
        <f>+'Cell 4 603'!CA20</f>
        <v>0</v>
      </c>
      <c r="BO79" s="45">
        <f>+'Cell 4 603'!CB20</f>
        <v>0</v>
      </c>
      <c r="BP79" s="45"/>
      <c r="BQ79" s="45"/>
      <c r="BR79" s="45"/>
      <c r="BS79" s="45"/>
      <c r="BT79" s="45"/>
      <c r="BU79" s="45"/>
      <c r="BV79" s="45"/>
      <c r="BW79" s="45"/>
      <c r="BX79" s="45">
        <f>+'Cell 9 603'!T16</f>
        <v>14.875</v>
      </c>
      <c r="BY79" s="45">
        <f>+'Cell 9 603'!U16</f>
        <v>66.75</v>
      </c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5"/>
      <c r="DK79" s="45"/>
      <c r="DL79" s="45"/>
      <c r="DM79" s="45"/>
      <c r="DN79" s="45"/>
      <c r="DO79" s="45"/>
      <c r="DP79" s="45"/>
      <c r="DQ79" s="45"/>
      <c r="DR79" s="45"/>
      <c r="DS79" s="45"/>
      <c r="DT79" s="45"/>
      <c r="DU79" s="45"/>
      <c r="DV79" s="45"/>
      <c r="DW79" s="45"/>
      <c r="DX79" s="45"/>
      <c r="DY79" s="45"/>
      <c r="DZ79" s="45"/>
      <c r="EA79" s="45"/>
      <c r="EB79" s="45"/>
      <c r="EC79" s="45"/>
      <c r="EU79" s="171"/>
    </row>
    <row r="80" spans="1:153" s="12" customFormat="1" ht="23.25" customHeight="1" x14ac:dyDescent="0.25">
      <c r="A80" s="55"/>
      <c r="B80" s="238" t="s">
        <v>20</v>
      </c>
      <c r="C80" s="238" t="s">
        <v>83</v>
      </c>
      <c r="D80" s="238">
        <v>37</v>
      </c>
      <c r="E80" s="238">
        <v>36</v>
      </c>
      <c r="F80" s="239">
        <f t="shared" ref="F80" si="133">+E80-D80</f>
        <v>-1</v>
      </c>
      <c r="G80" s="135" t="str">
        <f>G74</f>
        <v>Output/Day</v>
      </c>
      <c r="H80" s="144">
        <v>72</v>
      </c>
      <c r="I80" s="144">
        <v>126</v>
      </c>
      <c r="J80" s="144">
        <v>150</v>
      </c>
      <c r="K80" s="153"/>
      <c r="L80" s="144">
        <v>107</v>
      </c>
      <c r="M80" s="144">
        <v>270</v>
      </c>
      <c r="N80" s="144">
        <v>180</v>
      </c>
      <c r="O80" s="144">
        <v>246</v>
      </c>
      <c r="P80" s="144">
        <v>342</v>
      </c>
      <c r="Q80" s="144">
        <v>402</v>
      </c>
      <c r="R80" s="144">
        <v>420</v>
      </c>
      <c r="S80" s="154"/>
      <c r="T80" s="154"/>
      <c r="U80" s="153"/>
      <c r="V80" s="153"/>
      <c r="W80" s="153"/>
      <c r="X80" s="153"/>
      <c r="Y80" s="153"/>
      <c r="Z80" s="154"/>
      <c r="AA80" s="153"/>
      <c r="AB80" s="154"/>
      <c r="AC80" s="154"/>
      <c r="AD80" s="153"/>
      <c r="AE80" s="153">
        <v>541</v>
      </c>
      <c r="AF80" s="153">
        <v>600</v>
      </c>
      <c r="AG80" s="153">
        <v>504</v>
      </c>
      <c r="AH80" s="153">
        <v>722</v>
      </c>
      <c r="AI80" s="153">
        <v>504</v>
      </c>
      <c r="AJ80" s="154">
        <v>540</v>
      </c>
      <c r="AK80" s="154">
        <v>612</v>
      </c>
      <c r="AL80" s="154">
        <v>703</v>
      </c>
      <c r="AM80" s="154">
        <v>774</v>
      </c>
      <c r="AN80" s="154">
        <v>800</v>
      </c>
      <c r="AO80" s="155">
        <f>+'Cell 10 603'!AI15</f>
        <v>1060</v>
      </c>
      <c r="AP80" s="155">
        <f>+'Cell 10 603'!AJ15</f>
        <v>1050</v>
      </c>
      <c r="AQ80" s="155">
        <f>+'Cell 10 603'!AK15</f>
        <v>1025</v>
      </c>
      <c r="AR80" s="155">
        <f>+'Cell 10 603'!AL15</f>
        <v>1080</v>
      </c>
      <c r="AS80" s="155">
        <f>+'Cell 10 603'!AM15</f>
        <v>1050</v>
      </c>
      <c r="AT80" s="156">
        <f>+'Cell 10 603'!AN15</f>
        <v>840</v>
      </c>
      <c r="AU80" s="156">
        <f>+'Cell 10 603'!AO15</f>
        <v>870</v>
      </c>
      <c r="AV80" s="156">
        <f>+'Cell 10 603'!AP15</f>
        <v>830</v>
      </c>
      <c r="AW80" s="156">
        <f>+'Cell 10 603'!AQ15</f>
        <v>862</v>
      </c>
      <c r="AX80" s="156">
        <f>+'Cell 10 603'!AR15</f>
        <v>930</v>
      </c>
      <c r="AY80" s="156">
        <f>+'Cell 10 603'!AS15</f>
        <v>950</v>
      </c>
      <c r="AZ80" s="156">
        <f>+'Cell 10 603'!AT15</f>
        <v>850</v>
      </c>
      <c r="BA80" s="156">
        <f>+'Cell 10 603'!AU15</f>
        <v>1000</v>
      </c>
      <c r="BB80" s="156">
        <f>+'Cell 10 603'!AV15</f>
        <v>836</v>
      </c>
      <c r="BC80" s="156">
        <f>+'Cell 10 603'!AW15</f>
        <v>740</v>
      </c>
      <c r="BD80" s="155">
        <f>+'Cell 10 603'!AX15</f>
        <v>1050</v>
      </c>
      <c r="BE80" s="156">
        <f>+'Cell 10 603'!AY15</f>
        <v>674</v>
      </c>
      <c r="BF80" s="156">
        <f>+'Cell 10 603'!AZ15</f>
        <v>863</v>
      </c>
      <c r="BG80" s="156">
        <f>+'Cell 10 603'!BA15</f>
        <v>855</v>
      </c>
      <c r="BH80" s="156">
        <f>+'Cell 10 603'!BB15</f>
        <v>845</v>
      </c>
      <c r="BI80" s="156">
        <f>+'Cell 10 603'!BC15</f>
        <v>935</v>
      </c>
      <c r="BJ80" s="156">
        <f>+'Cell 10 603'!BD15</f>
        <v>760</v>
      </c>
      <c r="BK80" s="156">
        <f>+'Cell 10 603'!BE15</f>
        <v>760</v>
      </c>
      <c r="BL80" s="156">
        <f>+'Cell 10 603'!BF15</f>
        <v>770</v>
      </c>
      <c r="BM80" s="156">
        <f>+'Cell 10 603'!BG15</f>
        <v>803</v>
      </c>
      <c r="BN80" s="156">
        <f>+'Cell 10 603'!BH15</f>
        <v>815</v>
      </c>
      <c r="BO80" s="156">
        <f>+'Cell 10 603'!BI15</f>
        <v>580</v>
      </c>
      <c r="BP80" s="156">
        <f>+'Cell 10 603'!BJ15</f>
        <v>800</v>
      </c>
      <c r="BQ80" s="156">
        <f>+'Cell 10 603'!BK15</f>
        <v>0</v>
      </c>
      <c r="BR80" s="156">
        <f>+'Cell 10 603'!BL15</f>
        <v>1000</v>
      </c>
      <c r="BS80" s="156">
        <f>+'Cell 10 603'!BM15</f>
        <v>800</v>
      </c>
      <c r="BT80" s="156">
        <f>+'Cell 10 603'!BN15</f>
        <v>1080</v>
      </c>
      <c r="BU80" s="156">
        <f>+'Cell 10 603'!BO15</f>
        <v>780</v>
      </c>
      <c r="BV80" s="156">
        <f>+'Cell 10 603'!BP15</f>
        <v>480</v>
      </c>
      <c r="BW80" s="156">
        <f>+'Cell 10 603'!BQ15</f>
        <v>631</v>
      </c>
      <c r="BX80" s="156">
        <f>+'Cell 10 603'!BR15</f>
        <v>950</v>
      </c>
      <c r="BY80" s="156">
        <f>+'Cell 10 603'!BS15</f>
        <v>1160</v>
      </c>
      <c r="BZ80" s="153"/>
      <c r="CA80" s="154"/>
      <c r="CB80" s="154"/>
      <c r="CC80" s="153"/>
      <c r="CD80" s="153"/>
      <c r="CE80" s="153"/>
      <c r="CF80" s="153"/>
      <c r="CG80" s="153"/>
      <c r="CH80" s="153"/>
      <c r="CI80" s="154"/>
      <c r="CJ80" s="154"/>
      <c r="CK80" s="154"/>
      <c r="CL80" s="154"/>
      <c r="CM80" s="154"/>
      <c r="CN80" s="155"/>
      <c r="CO80" s="155"/>
      <c r="CP80" s="155"/>
      <c r="CQ80" s="155"/>
      <c r="CR80" s="155"/>
      <c r="CS80" s="156"/>
      <c r="CT80" s="156"/>
      <c r="CU80" s="156"/>
      <c r="CV80" s="156"/>
      <c r="CW80" s="156"/>
      <c r="CX80" s="156"/>
      <c r="CY80" s="156"/>
      <c r="CZ80" s="156"/>
      <c r="DA80" s="156"/>
      <c r="DB80" s="156"/>
      <c r="DC80" s="155"/>
      <c r="DD80" s="156"/>
      <c r="DE80" s="156"/>
      <c r="DF80" s="148"/>
      <c r="DG80" s="148"/>
      <c r="DH80" s="148"/>
      <c r="DI80" s="148"/>
      <c r="DJ80" s="156"/>
      <c r="DK80" s="156"/>
      <c r="DL80" s="156"/>
      <c r="DM80" s="156"/>
      <c r="DN80" s="156"/>
      <c r="DO80" s="156"/>
      <c r="DP80" s="156"/>
      <c r="DQ80" s="156"/>
      <c r="DR80" s="156"/>
      <c r="DS80" s="156"/>
      <c r="DT80" s="156"/>
      <c r="DU80" s="156"/>
      <c r="DV80" s="156"/>
      <c r="DW80" s="156"/>
      <c r="DX80" s="156"/>
      <c r="DY80" s="156"/>
      <c r="DZ80" s="148"/>
      <c r="EA80" s="148"/>
      <c r="EB80" s="148"/>
      <c r="EC80" s="148"/>
      <c r="ET80"/>
      <c r="EU80"/>
      <c r="EV80"/>
      <c r="EW80"/>
    </row>
    <row r="81" spans="1:153" ht="23.25" customHeight="1" x14ac:dyDescent="0.25">
      <c r="A81" s="54"/>
      <c r="B81" s="238"/>
      <c r="C81" s="238"/>
      <c r="D81" s="238"/>
      <c r="E81" s="238"/>
      <c r="F81" s="240"/>
      <c r="G81" s="135" t="s">
        <v>6</v>
      </c>
      <c r="H81" s="45">
        <f>H80/9</f>
        <v>8</v>
      </c>
      <c r="I81" s="45">
        <f>I80/9</f>
        <v>14</v>
      </c>
      <c r="J81" s="45">
        <f>J80/9</f>
        <v>16.666666666666668</v>
      </c>
      <c r="K81" s="45">
        <f>K80/9</f>
        <v>0</v>
      </c>
      <c r="L81" s="45">
        <f>+L80/9</f>
        <v>11.888888888888889</v>
      </c>
      <c r="M81" s="45">
        <f>+M80/9</f>
        <v>30</v>
      </c>
      <c r="N81" s="45">
        <f>N80/9</f>
        <v>20</v>
      </c>
      <c r="O81" s="45">
        <f>O80/9</f>
        <v>27.333333333333332</v>
      </c>
      <c r="P81" s="45">
        <f>P80/9</f>
        <v>38</v>
      </c>
      <c r="Q81" s="45">
        <f>Q80/9</f>
        <v>44.666666666666664</v>
      </c>
      <c r="R81" s="45">
        <f>SUM(R80:R80)/8</f>
        <v>52.5</v>
      </c>
      <c r="S81" s="45">
        <f>S80/8</f>
        <v>0</v>
      </c>
      <c r="T81" s="45">
        <f>T80/8</f>
        <v>0</v>
      </c>
      <c r="U81" s="45">
        <f>U80/8</f>
        <v>0</v>
      </c>
      <c r="V81" s="45">
        <f>V80/8</f>
        <v>0</v>
      </c>
      <c r="W81" s="45">
        <f>W80/8</f>
        <v>0</v>
      </c>
      <c r="X81" s="45">
        <f t="shared" ref="X81:AC81" si="134">SUM(X80:X80)/8</f>
        <v>0</v>
      </c>
      <c r="Y81" s="45">
        <f t="shared" si="134"/>
        <v>0</v>
      </c>
      <c r="Z81" s="45">
        <f t="shared" si="134"/>
        <v>0</v>
      </c>
      <c r="AA81" s="45">
        <f t="shared" si="134"/>
        <v>0</v>
      </c>
      <c r="AB81" s="45">
        <f t="shared" si="134"/>
        <v>0</v>
      </c>
      <c r="AC81" s="45">
        <f t="shared" si="134"/>
        <v>0</v>
      </c>
      <c r="AD81" s="45">
        <f>AD80/9</f>
        <v>0</v>
      </c>
      <c r="AE81" s="45">
        <f>AE80/9</f>
        <v>60.111111111111114</v>
      </c>
      <c r="AF81" s="45">
        <f>AF80/9</f>
        <v>66.666666666666671</v>
      </c>
      <c r="AG81" s="45">
        <f>AG80/9</f>
        <v>56</v>
      </c>
      <c r="AH81" s="45">
        <f>AH80/9</f>
        <v>80.222222222222229</v>
      </c>
      <c r="AI81" s="45">
        <f>+AI80/9</f>
        <v>56</v>
      </c>
      <c r="AJ81" s="45">
        <f>+AJ80/9</f>
        <v>60</v>
      </c>
      <c r="AK81" s="45">
        <f>AK80/9</f>
        <v>68</v>
      </c>
      <c r="AL81" s="45">
        <f>AL80/9</f>
        <v>78.111111111111114</v>
      </c>
      <c r="AM81" s="45">
        <f>AM80/9</f>
        <v>86</v>
      </c>
      <c r="AN81" s="45">
        <f>AN80/9</f>
        <v>88.888888888888886</v>
      </c>
      <c r="AO81" s="45">
        <f>+'Cell 10 603'!AI16</f>
        <v>117.77777777777777</v>
      </c>
      <c r="AP81" s="45">
        <f>+'Cell 10 603'!AJ16</f>
        <v>116.66666666666667</v>
      </c>
      <c r="AQ81" s="45">
        <f>+'Cell 10 603'!AK16</f>
        <v>113.88888888888889</v>
      </c>
      <c r="AR81" s="45">
        <f>+'Cell 10 603'!AL16</f>
        <v>120</v>
      </c>
      <c r="AS81" s="45">
        <f>+'Cell 10 603'!AM16</f>
        <v>105</v>
      </c>
      <c r="AT81" s="45">
        <f>+'Cell 10 603'!AN16</f>
        <v>84</v>
      </c>
      <c r="AU81" s="45">
        <f>+'Cell 10 603'!AO16</f>
        <v>96.666666666666671</v>
      </c>
      <c r="AV81" s="45">
        <f>+'Cell 10 603'!AP16</f>
        <v>92.222222222222229</v>
      </c>
      <c r="AW81" s="45">
        <f>+'Cell 10 603'!AQ16</f>
        <v>95.777777777777771</v>
      </c>
      <c r="AX81" s="45">
        <f>+'Cell 10 603'!AR16</f>
        <v>103.33333333333333</v>
      </c>
      <c r="AY81" s="45">
        <f>+'Cell 10 603'!AS16</f>
        <v>105.55555555555556</v>
      </c>
      <c r="AZ81" s="45">
        <f>+'Cell 10 603'!AT16</f>
        <v>94.444444444444443</v>
      </c>
      <c r="BA81" s="45">
        <f>+'Cell 10 603'!AU16</f>
        <v>111.11111111111111</v>
      </c>
      <c r="BB81" s="45">
        <f>+'Cell 10 603'!AV16</f>
        <v>92.888888888888886</v>
      </c>
      <c r="BC81" s="45">
        <f>+'Cell 10 603'!AW16</f>
        <v>82.222222222222229</v>
      </c>
      <c r="BD81" s="45">
        <f>+'Cell 10 603'!AX16</f>
        <v>116.66666666666667</v>
      </c>
      <c r="BE81" s="45">
        <f>+'Cell 10 603'!AY16</f>
        <v>96.285714285714292</v>
      </c>
      <c r="BF81" s="45">
        <f>+'Cell 10 603'!AZ16</f>
        <v>71.916666666666671</v>
      </c>
      <c r="BG81" s="45">
        <f>+'Cell 10 603'!BA16</f>
        <v>77.727272727272734</v>
      </c>
      <c r="BH81" s="45">
        <f>+'Cell 10 603'!BB16</f>
        <v>76.818181818181813</v>
      </c>
      <c r="BI81" s="45">
        <f>+'Cell 10 603'!BC16</f>
        <v>85</v>
      </c>
      <c r="BJ81" s="45">
        <f>+'Cell 10 603'!BD16</f>
        <v>69.090909090909093</v>
      </c>
      <c r="BK81" s="45">
        <f>+'Cell 10 603'!BE16</f>
        <v>69.090909090909093</v>
      </c>
      <c r="BL81" s="45">
        <f>+'Cell 10 603'!BF16</f>
        <v>70</v>
      </c>
      <c r="BM81" s="45">
        <f>+'Cell 10 603'!BG16</f>
        <v>73</v>
      </c>
      <c r="BN81" s="45">
        <f>+'Cell 10 603'!BH16</f>
        <v>67.916666666666671</v>
      </c>
      <c r="BO81" s="45">
        <f>+'Cell 10 603'!BI16</f>
        <v>58</v>
      </c>
      <c r="BP81" s="45">
        <f>+'Cell 10 603'!BJ16</f>
        <v>72.727272727272734</v>
      </c>
      <c r="BQ81" s="45">
        <f>+'Cell 10 603'!BK16</f>
        <v>0</v>
      </c>
      <c r="BR81" s="45">
        <f>+'Cell 10 603'!BL16</f>
        <v>90.909090909090907</v>
      </c>
      <c r="BS81" s="45">
        <f>+'Cell 10 603'!BM16</f>
        <v>80</v>
      </c>
      <c r="BT81" s="45">
        <f>+'Cell 10 603'!BN16</f>
        <v>108</v>
      </c>
      <c r="BU81" s="45">
        <f>+'Cell 10 603'!BO16</f>
        <v>78</v>
      </c>
      <c r="BV81" s="45">
        <f>+'Cell 10 603'!BP16</f>
        <v>43.636363636363633</v>
      </c>
      <c r="BW81" s="45">
        <f>+'Cell 10 603'!BQ16</f>
        <v>57.363636363636367</v>
      </c>
      <c r="BX81" s="45">
        <f>+'Cell 10 603'!BR16</f>
        <v>86.36363636363636</v>
      </c>
      <c r="BY81" s="45">
        <f>+'Cell 10 603'!BS16</f>
        <v>105.45454545454545</v>
      </c>
      <c r="BZ81" s="45"/>
      <c r="CA81" s="45"/>
      <c r="CB81" s="45"/>
      <c r="CC81" s="45"/>
      <c r="CD81" s="45"/>
      <c r="CE81" s="45"/>
      <c r="CF81" s="45"/>
      <c r="CG81" s="45"/>
      <c r="CH81" s="45"/>
      <c r="CI81" s="45"/>
      <c r="CJ81" s="45"/>
      <c r="CK81" s="45"/>
      <c r="CL81" s="45"/>
      <c r="CM81" s="45"/>
      <c r="CN81" s="45"/>
      <c r="CO81" s="45"/>
      <c r="CP81" s="45"/>
      <c r="CQ81" s="45"/>
      <c r="CR81" s="45"/>
      <c r="CS81" s="45"/>
      <c r="CT81" s="45"/>
      <c r="CU81" s="45"/>
      <c r="CV81" s="45"/>
      <c r="CW81" s="45"/>
      <c r="CX81" s="45"/>
      <c r="CY81" s="45"/>
      <c r="CZ81" s="45"/>
      <c r="DA81" s="45"/>
      <c r="DB81" s="45"/>
      <c r="DC81" s="45"/>
      <c r="DD81" s="45"/>
      <c r="DE81" s="45"/>
      <c r="DF81" s="45"/>
      <c r="DG81" s="45"/>
      <c r="DH81" s="45"/>
      <c r="DI81" s="45"/>
      <c r="DJ81" s="45"/>
      <c r="DK81" s="45"/>
      <c r="DL81" s="45"/>
      <c r="DM81" s="45"/>
      <c r="DN81" s="45"/>
      <c r="DO81" s="45"/>
      <c r="DP81" s="45"/>
      <c r="DQ81" s="45"/>
      <c r="DR81" s="45"/>
      <c r="DS81" s="45"/>
      <c r="DT81" s="45"/>
      <c r="DU81" s="45"/>
      <c r="DV81" s="45"/>
      <c r="DW81" s="45"/>
      <c r="DX81" s="45"/>
      <c r="DY81" s="45"/>
      <c r="DZ81" s="45"/>
      <c r="EA81" s="45"/>
      <c r="EB81" s="45"/>
      <c r="EC81" s="45"/>
    </row>
    <row r="82" spans="1:153" s="12" customFormat="1" ht="23.25" customHeight="1" x14ac:dyDescent="0.25">
      <c r="A82" s="55"/>
      <c r="B82" s="238" t="s">
        <v>27</v>
      </c>
      <c r="C82" s="238" t="s">
        <v>84</v>
      </c>
      <c r="D82" s="238">
        <v>37</v>
      </c>
      <c r="E82" s="238">
        <v>35</v>
      </c>
      <c r="F82" s="239">
        <f t="shared" ref="F82" si="135">+E82-D82</f>
        <v>-2</v>
      </c>
      <c r="G82" s="135" t="str">
        <f>G80</f>
        <v>Output/Day</v>
      </c>
      <c r="H82" s="144">
        <v>126</v>
      </c>
      <c r="I82" s="144">
        <v>150</v>
      </c>
      <c r="J82" s="144">
        <v>144</v>
      </c>
      <c r="K82" s="153"/>
      <c r="L82" s="144">
        <v>222</v>
      </c>
      <c r="M82" s="144">
        <v>246</v>
      </c>
      <c r="N82" s="144">
        <v>216</v>
      </c>
      <c r="O82" s="144">
        <v>246</v>
      </c>
      <c r="P82" s="144">
        <v>246</v>
      </c>
      <c r="Q82" s="144">
        <v>288</v>
      </c>
      <c r="R82" s="144">
        <v>342</v>
      </c>
      <c r="S82" s="154"/>
      <c r="T82" s="154"/>
      <c r="U82" s="153"/>
      <c r="V82" s="153"/>
      <c r="W82" s="153"/>
      <c r="X82" s="153"/>
      <c r="Y82" s="153"/>
      <c r="Z82" s="154"/>
      <c r="AA82" s="153"/>
      <c r="AB82" s="154"/>
      <c r="AC82" s="154"/>
      <c r="AD82" s="153"/>
      <c r="AE82" s="153">
        <v>528</v>
      </c>
      <c r="AF82" s="153">
        <v>566</v>
      </c>
      <c r="AG82" s="153">
        <v>467</v>
      </c>
      <c r="AH82" s="153">
        <v>442</v>
      </c>
      <c r="AI82" s="153">
        <v>449</v>
      </c>
      <c r="AJ82" s="154">
        <v>583</v>
      </c>
      <c r="AK82" s="154">
        <v>692</v>
      </c>
      <c r="AL82" s="154">
        <v>714</v>
      </c>
      <c r="AM82" s="154">
        <v>774</v>
      </c>
      <c r="AN82" s="154">
        <v>798</v>
      </c>
      <c r="AO82" s="148">
        <f>+'Cell 5 603'!AS19</f>
        <v>0</v>
      </c>
      <c r="AP82" s="148">
        <f>+'Cell 5 603'!AT19</f>
        <v>0</v>
      </c>
      <c r="AQ82" s="148">
        <f>+'Cell 5 603'!AU19</f>
        <v>0</v>
      </c>
      <c r="AR82" s="148">
        <f>+'Cell 5 603'!AV19</f>
        <v>0</v>
      </c>
      <c r="AS82" s="148">
        <f>+'Cell 5 603'!AW19</f>
        <v>0</v>
      </c>
      <c r="AT82" s="148">
        <f>+'Cell 5 603'!AX19</f>
        <v>0</v>
      </c>
      <c r="AU82" s="148">
        <f>+'Cell 5 603'!AY19</f>
        <v>0</v>
      </c>
      <c r="AV82" s="148">
        <f>+'Cell 5 603'!AZ19</f>
        <v>0</v>
      </c>
      <c r="AW82" s="148">
        <f>+'Cell 5 603'!BA19</f>
        <v>0</v>
      </c>
      <c r="AX82" s="148">
        <f>+'Cell 5 603'!BB19</f>
        <v>0</v>
      </c>
      <c r="AY82" s="148">
        <f>+'Cell 5 603'!BC19</f>
        <v>0</v>
      </c>
      <c r="AZ82" s="148">
        <f>+'Cell 5 603'!BD19</f>
        <v>0</v>
      </c>
      <c r="BA82" s="148">
        <f>+'Cell 5 603'!BE19</f>
        <v>0</v>
      </c>
      <c r="BB82" s="148">
        <f>+'Cell 5 603'!BF19</f>
        <v>0</v>
      </c>
      <c r="BC82" s="148">
        <f>+'Cell 5 603'!BG19</f>
        <v>0</v>
      </c>
      <c r="BD82" s="148">
        <f>+'Cell 5 603'!BH19</f>
        <v>0</v>
      </c>
      <c r="BE82" s="148">
        <f>+'Cell 5 603'!BI19</f>
        <v>0</v>
      </c>
      <c r="BF82" s="148"/>
      <c r="BG82" s="148">
        <f>+'Cell 11 603'!W15</f>
        <v>1084</v>
      </c>
      <c r="BH82" s="148">
        <f>+'Cell 11 603'!X15</f>
        <v>965</v>
      </c>
      <c r="BI82" s="148">
        <f>+'Cell 11 603'!Y15</f>
        <v>924</v>
      </c>
      <c r="BJ82" s="148">
        <f>+'Cell 11 603'!Z15</f>
        <v>511</v>
      </c>
      <c r="BK82" s="148">
        <f>+'Cell 11 603'!AA15</f>
        <v>511</v>
      </c>
      <c r="BL82" s="148">
        <f>+'Cell 11 603'!AB15</f>
        <v>718</v>
      </c>
      <c r="BM82" s="148">
        <f>+'Cell 11 603'!AC15</f>
        <v>1389</v>
      </c>
      <c r="BN82" s="148">
        <f>+'Cell 11 603'!AD15</f>
        <v>1077</v>
      </c>
      <c r="BO82" s="148">
        <f>+'Cell 11 603'!AE15</f>
        <v>818</v>
      </c>
      <c r="BP82" s="152">
        <f>+'Cell 11 603'!AF15</f>
        <v>983</v>
      </c>
      <c r="BQ82" s="152">
        <f>+'Cell 11 603'!AG15</f>
        <v>820</v>
      </c>
      <c r="BR82" s="170">
        <f>+'Cell 11 603'!AH15</f>
        <v>1109</v>
      </c>
      <c r="BS82" s="170">
        <f>+'Cell 11 603'!AI15</f>
        <v>872</v>
      </c>
      <c r="BT82" s="170">
        <f>+'Cell 11 603'!AJ15</f>
        <v>1096</v>
      </c>
      <c r="BU82" s="170">
        <f>+'Cell 11 603'!AK15</f>
        <v>1031</v>
      </c>
      <c r="BV82" s="170">
        <f>+'Cell 11 603'!AL15</f>
        <v>497</v>
      </c>
      <c r="BW82" s="170">
        <f>+'Cell 11 603'!AM15</f>
        <v>610</v>
      </c>
      <c r="BX82" s="170">
        <f>+'Cell 11 603'!AN15</f>
        <v>800</v>
      </c>
      <c r="BY82" s="170">
        <f>+'Cell 11 603'!AO15</f>
        <v>1110</v>
      </c>
      <c r="BZ82" s="153"/>
      <c r="CA82" s="154"/>
      <c r="CB82" s="154"/>
      <c r="CC82" s="153"/>
      <c r="CD82" s="153"/>
      <c r="CE82" s="153"/>
      <c r="CF82" s="153"/>
      <c r="CG82" s="153"/>
      <c r="CH82" s="153"/>
      <c r="CI82" s="154"/>
      <c r="CJ82" s="154"/>
      <c r="CK82" s="154"/>
      <c r="CL82" s="154"/>
      <c r="CM82" s="154"/>
      <c r="CN82" s="148"/>
      <c r="CO82" s="148"/>
      <c r="CP82" s="148"/>
      <c r="CQ82" s="148"/>
      <c r="CR82" s="148"/>
      <c r="CS82" s="148"/>
      <c r="CT82" s="148"/>
      <c r="CU82" s="148"/>
      <c r="CV82" s="148"/>
      <c r="CW82" s="148"/>
      <c r="CX82" s="148"/>
      <c r="CY82" s="148"/>
      <c r="CZ82" s="148"/>
      <c r="DA82" s="148"/>
      <c r="DB82" s="148"/>
      <c r="DC82" s="148"/>
      <c r="DD82" s="148"/>
      <c r="DE82" s="148"/>
      <c r="DF82" s="148"/>
      <c r="DG82" s="148"/>
      <c r="DH82" s="148"/>
      <c r="DI82" s="148"/>
      <c r="DJ82" s="148"/>
      <c r="DK82" s="148"/>
      <c r="DL82" s="148"/>
      <c r="DM82" s="148"/>
      <c r="DN82" s="148"/>
      <c r="DO82" s="148"/>
      <c r="DP82" s="148"/>
      <c r="DQ82" s="148"/>
      <c r="DR82" s="148"/>
      <c r="DS82" s="148"/>
      <c r="DT82" s="148"/>
      <c r="DU82" s="148"/>
      <c r="DV82" s="148"/>
      <c r="DW82" s="148"/>
      <c r="DX82" s="148"/>
      <c r="DY82" s="148"/>
      <c r="DZ82" s="148"/>
      <c r="EA82" s="148"/>
      <c r="EB82" s="148"/>
      <c r="EC82" s="148"/>
      <c r="ET82"/>
      <c r="EU82"/>
      <c r="EV82"/>
      <c r="EW82"/>
    </row>
    <row r="83" spans="1:153" ht="23.25" customHeight="1" x14ac:dyDescent="0.25">
      <c r="A83" s="54"/>
      <c r="B83" s="238"/>
      <c r="C83" s="238"/>
      <c r="D83" s="238"/>
      <c r="E83" s="238"/>
      <c r="F83" s="240"/>
      <c r="G83" s="135" t="s">
        <v>6</v>
      </c>
      <c r="H83" s="45">
        <f>H82/9</f>
        <v>14</v>
      </c>
      <c r="I83" s="45">
        <f>I82/9</f>
        <v>16.666666666666668</v>
      </c>
      <c r="J83" s="45">
        <f>J82/10</f>
        <v>14.4</v>
      </c>
      <c r="K83" s="45">
        <f>K82/9</f>
        <v>0</v>
      </c>
      <c r="L83" s="45">
        <f>+L82/9</f>
        <v>24.666666666666668</v>
      </c>
      <c r="M83" s="45">
        <f>+M82/9</f>
        <v>27.333333333333332</v>
      </c>
      <c r="N83" s="45">
        <f>N82/10</f>
        <v>21.6</v>
      </c>
      <c r="O83" s="45">
        <f>O82/10</f>
        <v>24.6</v>
      </c>
      <c r="P83" s="45">
        <f>P82/10</f>
        <v>24.6</v>
      </c>
      <c r="Q83" s="45">
        <f>Q82/10</f>
        <v>28.8</v>
      </c>
      <c r="R83" s="45">
        <f>SUM(R82:R82)/8</f>
        <v>42.75</v>
      </c>
      <c r="S83" s="45">
        <f>S82/8</f>
        <v>0</v>
      </c>
      <c r="T83" s="45">
        <f>T82/8</f>
        <v>0</v>
      </c>
      <c r="U83" s="45">
        <f>U82/8</f>
        <v>0</v>
      </c>
      <c r="V83" s="45">
        <f>V82/8</f>
        <v>0</v>
      </c>
      <c r="W83" s="45">
        <f>W82/8</f>
        <v>0</v>
      </c>
      <c r="X83" s="45">
        <f t="shared" ref="X83:AC83" si="136">SUM(X82:X82)/8</f>
        <v>0</v>
      </c>
      <c r="Y83" s="45">
        <f t="shared" si="136"/>
        <v>0</v>
      </c>
      <c r="Z83" s="45">
        <f t="shared" si="136"/>
        <v>0</v>
      </c>
      <c r="AA83" s="45">
        <f t="shared" si="136"/>
        <v>0</v>
      </c>
      <c r="AB83" s="45">
        <f t="shared" si="136"/>
        <v>0</v>
      </c>
      <c r="AC83" s="45">
        <f t="shared" si="136"/>
        <v>0</v>
      </c>
      <c r="AD83" s="45">
        <f>AD82/9</f>
        <v>0</v>
      </c>
      <c r="AE83" s="45">
        <f>AE82/9</f>
        <v>58.666666666666664</v>
      </c>
      <c r="AF83" s="45">
        <f>AF82/9</f>
        <v>62.888888888888886</v>
      </c>
      <c r="AG83" s="45">
        <f>AG82/10</f>
        <v>46.7</v>
      </c>
      <c r="AH83" s="45">
        <f>AH82/9</f>
        <v>49.111111111111114</v>
      </c>
      <c r="AI83" s="45">
        <f>+AI82/9</f>
        <v>49.888888888888886</v>
      </c>
      <c r="AJ83" s="45">
        <f>+AJ82/9</f>
        <v>64.777777777777771</v>
      </c>
      <c r="AK83" s="45">
        <f>AK82/9</f>
        <v>76.888888888888886</v>
      </c>
      <c r="AL83" s="45">
        <f>AL82/9</f>
        <v>79.333333333333329</v>
      </c>
      <c r="AM83" s="45">
        <f>AM82/9</f>
        <v>86</v>
      </c>
      <c r="AN83" s="45">
        <f>AN82/9</f>
        <v>88.666666666666671</v>
      </c>
      <c r="AO83" s="45">
        <f>+'Cell 5 603'!AS20</f>
        <v>0</v>
      </c>
      <c r="AP83" s="45">
        <f>+'Cell 5 603'!AT20</f>
        <v>0</v>
      </c>
      <c r="AQ83" s="45">
        <f>+'Cell 5 603'!AU20</f>
        <v>0</v>
      </c>
      <c r="AR83" s="45">
        <f>+'Cell 5 603'!AV20</f>
        <v>0</v>
      </c>
      <c r="AS83" s="45">
        <f>+'Cell 5 603'!AW20</f>
        <v>0</v>
      </c>
      <c r="AT83" s="45">
        <f>+'Cell 5 603'!AX20</f>
        <v>0</v>
      </c>
      <c r="AU83" s="45">
        <f>+'Cell 5 603'!AY20</f>
        <v>0</v>
      </c>
      <c r="AV83" s="45">
        <f>+'Cell 5 603'!AZ20</f>
        <v>0</v>
      </c>
      <c r="AW83" s="45">
        <f>+'Cell 5 603'!BA20</f>
        <v>0</v>
      </c>
      <c r="AX83" s="45">
        <f>+'Cell 5 603'!BB20</f>
        <v>0</v>
      </c>
      <c r="AY83" s="45">
        <f>+'Cell 5 603'!BC20</f>
        <v>0</v>
      </c>
      <c r="AZ83" s="45">
        <f>+'Cell 5 603'!BD20</f>
        <v>0</v>
      </c>
      <c r="BA83" s="45">
        <f>+'Cell 5 603'!BE20</f>
        <v>0</v>
      </c>
      <c r="BB83" s="45">
        <f>+'Cell 5 603'!BF20</f>
        <v>0</v>
      </c>
      <c r="BC83" s="45">
        <f>+'Cell 5 603'!BG20</f>
        <v>0</v>
      </c>
      <c r="BD83" s="45">
        <f>+'Cell 5 603'!BH20</f>
        <v>0</v>
      </c>
      <c r="BE83" s="45">
        <f>+'Cell 5 603'!BI20</f>
        <v>0</v>
      </c>
      <c r="BF83" s="45"/>
      <c r="BG83" s="45">
        <f>+'Cell 11 603'!W16</f>
        <v>108.4</v>
      </c>
      <c r="BH83" s="45">
        <f>+'Cell 11 603'!X16</f>
        <v>96.5</v>
      </c>
      <c r="BI83" s="45">
        <f>+'Cell 11 603'!Y16</f>
        <v>92.4</v>
      </c>
      <c r="BJ83" s="45">
        <f>+'Cell 11 603'!Z16</f>
        <v>51.1</v>
      </c>
      <c r="BK83" s="45">
        <f>+'Cell 11 603'!AA16</f>
        <v>51.1</v>
      </c>
      <c r="BL83" s="45">
        <f>+'Cell 11 603'!AB16</f>
        <v>71.8</v>
      </c>
      <c r="BM83" s="45">
        <f>+'Cell 11 603'!AC16</f>
        <v>138.9</v>
      </c>
      <c r="BN83" s="45">
        <f>+'Cell 11 603'!AD16</f>
        <v>97.909090909090907</v>
      </c>
      <c r="BO83" s="45">
        <f>+'Cell 11 603'!AE16</f>
        <v>74.36363636363636</v>
      </c>
      <c r="BP83" s="45">
        <f>+'Cell 11 603'!AF16</f>
        <v>98.3</v>
      </c>
      <c r="BQ83" s="45">
        <f>+'Cell 11 603'!AG16</f>
        <v>91.111111111111114</v>
      </c>
      <c r="BR83" s="45">
        <f>+'Cell 11 603'!AH16</f>
        <v>100.81818181818181</v>
      </c>
      <c r="BS83" s="45">
        <f>+'Cell 11 603'!AI16</f>
        <v>87.2</v>
      </c>
      <c r="BT83" s="45">
        <f>+'Cell 11 603'!AJ16</f>
        <v>109.6</v>
      </c>
      <c r="BU83" s="45">
        <f>+'Cell 11 603'!AK16</f>
        <v>103.1</v>
      </c>
      <c r="BV83" s="45">
        <f>+'Cell 11 603'!AL16</f>
        <v>49.7</v>
      </c>
      <c r="BW83" s="45">
        <f>+'Cell 11 603'!AM16</f>
        <v>61</v>
      </c>
      <c r="BX83" s="45">
        <f>+'Cell 11 603'!AN16</f>
        <v>80</v>
      </c>
      <c r="BY83" s="45">
        <f>+'Cell 11 603'!AO16</f>
        <v>111</v>
      </c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  <c r="CK83" s="45"/>
      <c r="CL83" s="45"/>
      <c r="CM83" s="45"/>
      <c r="CN83" s="45"/>
      <c r="CO83" s="45"/>
      <c r="CP83" s="45"/>
      <c r="CQ83" s="45"/>
      <c r="CR83" s="45"/>
      <c r="CS83" s="45"/>
      <c r="CT83" s="45"/>
      <c r="CU83" s="45"/>
      <c r="CV83" s="45"/>
      <c r="CW83" s="45"/>
      <c r="CX83" s="45"/>
      <c r="CY83" s="45"/>
      <c r="CZ83" s="45"/>
      <c r="DA83" s="45"/>
      <c r="DB83" s="45"/>
      <c r="DC83" s="45"/>
      <c r="DD83" s="45"/>
      <c r="DE83" s="45"/>
      <c r="DF83" s="45"/>
      <c r="DG83" s="45"/>
      <c r="DH83" s="45"/>
      <c r="DI83" s="45"/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45"/>
      <c r="DW83" s="45"/>
      <c r="DX83" s="45"/>
      <c r="DY83" s="45"/>
      <c r="DZ83" s="45"/>
      <c r="EA83" s="45"/>
      <c r="EB83" s="45"/>
      <c r="EC83" s="45"/>
    </row>
    <row r="84" spans="1:153" x14ac:dyDescent="0.25">
      <c r="A84" s="54"/>
      <c r="B84" s="263" t="s">
        <v>86</v>
      </c>
      <c r="C84" s="263"/>
      <c r="D84" s="263"/>
      <c r="E84" s="263"/>
      <c r="F84" s="263"/>
      <c r="G84" s="263"/>
      <c r="H84" s="157">
        <v>12</v>
      </c>
      <c r="I84" s="157">
        <v>12</v>
      </c>
      <c r="J84" s="157">
        <v>12</v>
      </c>
      <c r="K84" s="157">
        <v>12</v>
      </c>
      <c r="L84" s="157">
        <v>12</v>
      </c>
      <c r="M84" s="157">
        <v>24</v>
      </c>
      <c r="N84" s="157">
        <v>24</v>
      </c>
      <c r="O84" s="157">
        <v>24</v>
      </c>
      <c r="P84" s="157">
        <v>24</v>
      </c>
      <c r="Q84" s="157">
        <v>24</v>
      </c>
      <c r="R84" s="157">
        <v>48</v>
      </c>
      <c r="S84" s="157">
        <v>48</v>
      </c>
      <c r="T84" s="157">
        <v>48</v>
      </c>
      <c r="U84" s="157">
        <v>48</v>
      </c>
      <c r="V84" s="157">
        <v>48</v>
      </c>
      <c r="W84" s="157">
        <v>60</v>
      </c>
      <c r="X84" s="157">
        <v>60</v>
      </c>
      <c r="Y84" s="157">
        <v>60</v>
      </c>
      <c r="Z84" s="157">
        <v>60</v>
      </c>
      <c r="AA84" s="157">
        <v>60</v>
      </c>
      <c r="AB84" s="157">
        <v>72</v>
      </c>
      <c r="AC84" s="157">
        <v>72</v>
      </c>
      <c r="AD84" s="157">
        <v>72</v>
      </c>
      <c r="AE84" s="157">
        <v>72</v>
      </c>
      <c r="AF84" s="157">
        <v>72</v>
      </c>
      <c r="AG84" s="157">
        <v>96</v>
      </c>
      <c r="AH84" s="157">
        <v>96</v>
      </c>
      <c r="AI84" s="157">
        <v>96</v>
      </c>
      <c r="AJ84" s="157">
        <v>96</v>
      </c>
      <c r="AK84" s="157">
        <v>96</v>
      </c>
      <c r="AL84" s="157">
        <v>108</v>
      </c>
      <c r="AM84" s="157">
        <v>108</v>
      </c>
      <c r="AN84" s="157">
        <v>108</v>
      </c>
      <c r="AO84" s="157">
        <v>120</v>
      </c>
      <c r="AP84" s="157">
        <v>120</v>
      </c>
      <c r="AQ84" s="157">
        <v>120</v>
      </c>
      <c r="AR84" s="157">
        <v>120</v>
      </c>
      <c r="AS84" s="157">
        <v>120</v>
      </c>
      <c r="AT84" s="157">
        <v>120</v>
      </c>
      <c r="AU84" s="157">
        <v>120</v>
      </c>
      <c r="AV84" s="157">
        <v>120</v>
      </c>
      <c r="AW84" s="157">
        <v>120</v>
      </c>
      <c r="AX84" s="157">
        <v>120</v>
      </c>
      <c r="AY84" s="157">
        <v>120</v>
      </c>
      <c r="AZ84" s="157">
        <v>120</v>
      </c>
      <c r="BA84" s="157">
        <v>120</v>
      </c>
      <c r="BB84" s="157">
        <v>120</v>
      </c>
      <c r="BC84" s="157">
        <v>120</v>
      </c>
      <c r="BD84" s="157">
        <v>120</v>
      </c>
      <c r="BE84" s="157">
        <v>120</v>
      </c>
      <c r="BF84" s="157">
        <v>120</v>
      </c>
      <c r="BG84" s="157">
        <v>120</v>
      </c>
      <c r="BH84" s="157">
        <v>120</v>
      </c>
      <c r="BI84" s="157">
        <v>120</v>
      </c>
      <c r="BJ84" s="157">
        <v>120</v>
      </c>
      <c r="BK84" s="157">
        <v>120</v>
      </c>
      <c r="BL84" s="157">
        <v>120</v>
      </c>
      <c r="BM84" s="157">
        <v>120</v>
      </c>
      <c r="BN84" s="157">
        <v>120</v>
      </c>
      <c r="BO84" s="157">
        <v>120</v>
      </c>
      <c r="BP84" s="157">
        <v>120</v>
      </c>
      <c r="BQ84" s="157">
        <v>120</v>
      </c>
      <c r="BR84" s="157">
        <v>120</v>
      </c>
      <c r="BS84" s="157">
        <v>120</v>
      </c>
      <c r="BT84" s="157">
        <v>120</v>
      </c>
      <c r="BU84" s="157">
        <v>120</v>
      </c>
      <c r="BV84" s="157">
        <v>120</v>
      </c>
      <c r="BW84" s="157">
        <v>120</v>
      </c>
      <c r="BX84" s="157">
        <v>120</v>
      </c>
      <c r="BY84" s="157">
        <v>120</v>
      </c>
      <c r="BZ84" s="157">
        <v>120</v>
      </c>
      <c r="CA84" s="157">
        <v>120</v>
      </c>
      <c r="CB84" s="157">
        <v>120</v>
      </c>
      <c r="CC84" s="157">
        <v>120</v>
      </c>
      <c r="CD84" s="157">
        <v>120</v>
      </c>
      <c r="CE84" s="157">
        <v>120</v>
      </c>
      <c r="CF84" s="157">
        <v>120</v>
      </c>
      <c r="CG84" s="157">
        <v>120</v>
      </c>
      <c r="CH84" s="157">
        <v>120</v>
      </c>
      <c r="CI84" s="157">
        <v>120</v>
      </c>
      <c r="CJ84" s="157">
        <v>120</v>
      </c>
      <c r="CK84" s="157">
        <v>120</v>
      </c>
      <c r="CL84" s="157">
        <v>108</v>
      </c>
      <c r="CM84" s="157">
        <v>108</v>
      </c>
      <c r="CN84" s="157">
        <v>120</v>
      </c>
      <c r="CO84" s="157">
        <v>120</v>
      </c>
      <c r="CP84" s="157">
        <v>120</v>
      </c>
      <c r="CQ84" s="157">
        <v>120</v>
      </c>
      <c r="CR84" s="157">
        <v>120</v>
      </c>
      <c r="CS84" s="157">
        <v>120</v>
      </c>
      <c r="CT84" s="157">
        <v>120</v>
      </c>
      <c r="CU84" s="157">
        <v>120</v>
      </c>
      <c r="CV84" s="157">
        <v>120</v>
      </c>
      <c r="CW84" s="157">
        <v>120</v>
      </c>
      <c r="CX84" s="157">
        <v>120</v>
      </c>
      <c r="CY84" s="157">
        <v>120</v>
      </c>
      <c r="CZ84" s="157">
        <v>120</v>
      </c>
      <c r="DA84" s="157">
        <v>120</v>
      </c>
      <c r="DB84" s="157">
        <v>120</v>
      </c>
      <c r="DC84" s="157">
        <v>120</v>
      </c>
      <c r="DD84" s="157">
        <v>120</v>
      </c>
      <c r="DE84" s="157">
        <v>120</v>
      </c>
      <c r="DF84" s="157">
        <v>120</v>
      </c>
      <c r="DG84" s="157">
        <v>120</v>
      </c>
      <c r="DH84" s="157">
        <v>120</v>
      </c>
      <c r="DI84" s="157">
        <v>120</v>
      </c>
      <c r="DJ84" s="157">
        <v>120</v>
      </c>
      <c r="DK84" s="157">
        <v>120</v>
      </c>
      <c r="DL84" s="157">
        <v>120</v>
      </c>
      <c r="DM84" s="157">
        <v>120</v>
      </c>
      <c r="DN84" s="157">
        <v>120</v>
      </c>
      <c r="DO84" s="157">
        <v>120</v>
      </c>
      <c r="DP84" s="157">
        <v>120</v>
      </c>
      <c r="DQ84" s="157">
        <v>120</v>
      </c>
      <c r="DR84" s="157">
        <v>120</v>
      </c>
      <c r="DS84" s="157">
        <v>120</v>
      </c>
      <c r="DT84" s="157">
        <v>120</v>
      </c>
      <c r="DU84" s="157">
        <v>120</v>
      </c>
      <c r="DV84" s="157">
        <v>120</v>
      </c>
      <c r="DW84" s="157">
        <v>120</v>
      </c>
      <c r="DX84" s="157">
        <v>120</v>
      </c>
      <c r="DY84" s="157">
        <v>120</v>
      </c>
      <c r="DZ84" s="157">
        <v>120</v>
      </c>
      <c r="EA84" s="157">
        <v>120</v>
      </c>
      <c r="EB84" s="157">
        <v>120</v>
      </c>
      <c r="EC84" s="157">
        <v>120</v>
      </c>
    </row>
    <row r="85" spans="1:153" ht="12" customHeight="1" x14ac:dyDescent="0.25">
      <c r="B85" s="142"/>
      <c r="C85" s="142"/>
      <c r="D85" s="142"/>
      <c r="E85" s="142"/>
      <c r="F85" s="142"/>
      <c r="G85" s="142"/>
    </row>
    <row r="86" spans="1:153" ht="15" hidden="1" customHeight="1" x14ac:dyDescent="0.25"/>
    <row r="87" spans="1:153" ht="15" hidden="1" customHeight="1" x14ac:dyDescent="0.25"/>
    <row r="88" spans="1:153" ht="15" hidden="1" customHeight="1" x14ac:dyDescent="0.25"/>
    <row r="89" spans="1:153" ht="15" hidden="1" customHeight="1" x14ac:dyDescent="0.25"/>
    <row r="90" spans="1:153" ht="15" hidden="1" customHeight="1" x14ac:dyDescent="0.25"/>
    <row r="91" spans="1:153" ht="15" hidden="1" customHeight="1" x14ac:dyDescent="0.25"/>
    <row r="92" spans="1:153" ht="15" hidden="1" customHeight="1" x14ac:dyDescent="0.25"/>
    <row r="93" spans="1:153" ht="15" hidden="1" customHeight="1" x14ac:dyDescent="0.25"/>
    <row r="94" spans="1:153" ht="15" hidden="1" customHeight="1" x14ac:dyDescent="0.25"/>
    <row r="95" spans="1:153" ht="15" hidden="1" customHeight="1" x14ac:dyDescent="0.25"/>
    <row r="96" spans="1:153" ht="15" hidden="1" customHeight="1" x14ac:dyDescent="0.25"/>
    <row r="97" ht="15" hidden="1" customHeight="1" x14ac:dyDescent="0.25"/>
    <row r="98" ht="15" hidden="1" customHeight="1" x14ac:dyDescent="0.25"/>
    <row r="99" ht="15" hidden="1" customHeight="1" x14ac:dyDescent="0.25"/>
    <row r="100" ht="15" hidden="1" customHeight="1" x14ac:dyDescent="0.25"/>
    <row r="101" ht="15" hidden="1" customHeight="1" x14ac:dyDescent="0.25"/>
  </sheetData>
  <mergeCells count="156">
    <mergeCell ref="B78:B79"/>
    <mergeCell ref="C78:C79"/>
    <mergeCell ref="D78:D79"/>
    <mergeCell ref="E78:E79"/>
    <mergeCell ref="F78:F79"/>
    <mergeCell ref="B61:B62"/>
    <mergeCell ref="C61:C62"/>
    <mergeCell ref="D61:D62"/>
    <mergeCell ref="E61:E62"/>
    <mergeCell ref="F61:F62"/>
    <mergeCell ref="B68:EC70"/>
    <mergeCell ref="AO71:EC71"/>
    <mergeCell ref="B65:G65"/>
    <mergeCell ref="B63:B64"/>
    <mergeCell ref="B45:EC47"/>
    <mergeCell ref="C59:C60"/>
    <mergeCell ref="D59:D60"/>
    <mergeCell ref="E59:E60"/>
    <mergeCell ref="F59:F60"/>
    <mergeCell ref="C53:C54"/>
    <mergeCell ref="D53:D54"/>
    <mergeCell ref="E53:E54"/>
    <mergeCell ref="F53:F54"/>
    <mergeCell ref="C55:C56"/>
    <mergeCell ref="D55:D56"/>
    <mergeCell ref="E55:E56"/>
    <mergeCell ref="F55:F56"/>
    <mergeCell ref="B55:B56"/>
    <mergeCell ref="B48:B50"/>
    <mergeCell ref="G48:G50"/>
    <mergeCell ref="B57:B58"/>
    <mergeCell ref="B59:B60"/>
    <mergeCell ref="B53:B54"/>
    <mergeCell ref="B51:B52"/>
    <mergeCell ref="C48:C50"/>
    <mergeCell ref="D48:D50"/>
    <mergeCell ref="E48:E50"/>
    <mergeCell ref="F48:F50"/>
    <mergeCell ref="C51:C52"/>
    <mergeCell ref="D51:D52"/>
    <mergeCell ref="E51:E52"/>
    <mergeCell ref="F51:F52"/>
    <mergeCell ref="AO48:EC48"/>
    <mergeCell ref="C57:C58"/>
    <mergeCell ref="D57:D58"/>
    <mergeCell ref="E57:E58"/>
    <mergeCell ref="F57:F58"/>
    <mergeCell ref="B30:B31"/>
    <mergeCell ref="B32:B33"/>
    <mergeCell ref="B34:B35"/>
    <mergeCell ref="D13:D14"/>
    <mergeCell ref="E13:E14"/>
    <mergeCell ref="F13:F14"/>
    <mergeCell ref="D15:D16"/>
    <mergeCell ref="E15:E16"/>
    <mergeCell ref="B84:G84"/>
    <mergeCell ref="B71:B73"/>
    <mergeCell ref="G71:G73"/>
    <mergeCell ref="B74:B75"/>
    <mergeCell ref="B76:B77"/>
    <mergeCell ref="B82:B83"/>
    <mergeCell ref="B80:B81"/>
    <mergeCell ref="C76:C77"/>
    <mergeCell ref="D76:D77"/>
    <mergeCell ref="E76:E77"/>
    <mergeCell ref="F76:F77"/>
    <mergeCell ref="C80:C81"/>
    <mergeCell ref="D80:D81"/>
    <mergeCell ref="E80:E81"/>
    <mergeCell ref="F80:F81"/>
    <mergeCell ref="C82:C83"/>
    <mergeCell ref="B9:B10"/>
    <mergeCell ref="B3:EC5"/>
    <mergeCell ref="AO6:EC6"/>
    <mergeCell ref="B24:EC26"/>
    <mergeCell ref="AO27:EC27"/>
    <mergeCell ref="B19:B20"/>
    <mergeCell ref="B15:B16"/>
    <mergeCell ref="B11:B12"/>
    <mergeCell ref="G6:G8"/>
    <mergeCell ref="B6:B8"/>
    <mergeCell ref="C6:C8"/>
    <mergeCell ref="C9:C10"/>
    <mergeCell ref="D6:D8"/>
    <mergeCell ref="E6:E8"/>
    <mergeCell ref="F6:F8"/>
    <mergeCell ref="D9:D10"/>
    <mergeCell ref="B13:B14"/>
    <mergeCell ref="B17:B18"/>
    <mergeCell ref="B21:G21"/>
    <mergeCell ref="B27:B29"/>
    <mergeCell ref="G27:G29"/>
    <mergeCell ref="F15:F16"/>
    <mergeCell ref="D17:D18"/>
    <mergeCell ref="E17:E18"/>
    <mergeCell ref="F17:F18"/>
    <mergeCell ref="D19:D20"/>
    <mergeCell ref="E19:E20"/>
    <mergeCell ref="F19:F20"/>
    <mergeCell ref="E9:E10"/>
    <mergeCell ref="F9:F10"/>
    <mergeCell ref="D11:D12"/>
    <mergeCell ref="E11:E12"/>
    <mergeCell ref="F11:F12"/>
    <mergeCell ref="D32:D33"/>
    <mergeCell ref="E32:E33"/>
    <mergeCell ref="F32:F33"/>
    <mergeCell ref="D34:D35"/>
    <mergeCell ref="E34:E35"/>
    <mergeCell ref="F34:F35"/>
    <mergeCell ref="C27:C29"/>
    <mergeCell ref="D27:D29"/>
    <mergeCell ref="E27:E29"/>
    <mergeCell ref="F27:F29"/>
    <mergeCell ref="C30:C31"/>
    <mergeCell ref="D30:D31"/>
    <mergeCell ref="E30:E31"/>
    <mergeCell ref="F30:F31"/>
    <mergeCell ref="D36:D37"/>
    <mergeCell ref="E36:E37"/>
    <mergeCell ref="F36:F37"/>
    <mergeCell ref="D38:D39"/>
    <mergeCell ref="E38:E39"/>
    <mergeCell ref="F38:F39"/>
    <mergeCell ref="B42:G42"/>
    <mergeCell ref="B36:B37"/>
    <mergeCell ref="B38:B39"/>
    <mergeCell ref="B40:B41"/>
    <mergeCell ref="C40:C41"/>
    <mergeCell ref="D40:D41"/>
    <mergeCell ref="E40:E41"/>
    <mergeCell ref="F40:F41"/>
    <mergeCell ref="D82:D83"/>
    <mergeCell ref="E82:E83"/>
    <mergeCell ref="F82:F83"/>
    <mergeCell ref="C11:C12"/>
    <mergeCell ref="C13:C14"/>
    <mergeCell ref="C15:C16"/>
    <mergeCell ref="C17:C18"/>
    <mergeCell ref="C19:C20"/>
    <mergeCell ref="C32:C33"/>
    <mergeCell ref="C34:C35"/>
    <mergeCell ref="C36:C37"/>
    <mergeCell ref="C38:C39"/>
    <mergeCell ref="C63:C64"/>
    <mergeCell ref="D63:D64"/>
    <mergeCell ref="E63:E64"/>
    <mergeCell ref="F63:F64"/>
    <mergeCell ref="C71:C73"/>
    <mergeCell ref="D71:D73"/>
    <mergeCell ref="E71:E73"/>
    <mergeCell ref="F71:F73"/>
    <mergeCell ref="C74:C75"/>
    <mergeCell ref="D74:D75"/>
    <mergeCell ref="E74:E75"/>
    <mergeCell ref="F74:F75"/>
  </mergeCells>
  <conditionalFormatting sqref="DG13">
    <cfRule type="containsBlanks" dxfId="1045" priority="720">
      <formula>LEN(TRIM(DG13))=0</formula>
    </cfRule>
  </conditionalFormatting>
  <conditionalFormatting sqref="AC13 H13:N13 P13:T13">
    <cfRule type="containsBlanks" dxfId="1044" priority="719">
      <formula>LEN(TRIM(H13))=0</formula>
    </cfRule>
  </conditionalFormatting>
  <conditionalFormatting sqref="H11:N11 AC11 P11:T11">
    <cfRule type="containsBlanks" dxfId="1043" priority="718">
      <formula>LEN(TRIM(H11))=0</formula>
    </cfRule>
  </conditionalFormatting>
  <conditionalFormatting sqref="U13:AB13">
    <cfRule type="containsBlanks" dxfId="1042" priority="717">
      <formula>LEN(TRIM(U13))=0</formula>
    </cfRule>
  </conditionalFormatting>
  <conditionalFormatting sqref="V11:AB11">
    <cfRule type="containsBlanks" dxfId="1041" priority="716">
      <formula>LEN(TRIM(V11))=0</formula>
    </cfRule>
  </conditionalFormatting>
  <conditionalFormatting sqref="U11">
    <cfRule type="containsBlanks" dxfId="1040" priority="715">
      <formula>LEN(TRIM(U11))=0</formula>
    </cfRule>
  </conditionalFormatting>
  <conditionalFormatting sqref="AC17 H17:N17 P17:T17">
    <cfRule type="containsBlanks" dxfId="1039" priority="714">
      <formula>LEN(TRIM(H17))=0</formula>
    </cfRule>
  </conditionalFormatting>
  <conditionalFormatting sqref="U17:AB17">
    <cfRule type="containsBlanks" dxfId="1038" priority="713">
      <formula>LEN(TRIM(U17))=0</formula>
    </cfRule>
  </conditionalFormatting>
  <conditionalFormatting sqref="O11">
    <cfRule type="containsBlanks" dxfId="1037" priority="712">
      <formula>LEN(TRIM(O11))=0</formula>
    </cfRule>
  </conditionalFormatting>
  <conditionalFormatting sqref="O13">
    <cfRule type="containsBlanks" dxfId="1036" priority="711">
      <formula>LEN(TRIM(O13))=0</formula>
    </cfRule>
  </conditionalFormatting>
  <conditionalFormatting sqref="O17">
    <cfRule type="containsBlanks" dxfId="1035" priority="710">
      <formula>LEN(TRIM(O17))=0</formula>
    </cfRule>
  </conditionalFormatting>
  <conditionalFormatting sqref="AL13:AN13 AD13:AJ13">
    <cfRule type="containsBlanks" dxfId="1034" priority="708">
      <formula>LEN(TRIM(AD13))=0</formula>
    </cfRule>
  </conditionalFormatting>
  <conditionalFormatting sqref="AD11:AJ11 AL11:BF11 DF11:DI11">
    <cfRule type="containsBlanks" dxfId="1033" priority="707">
      <formula>LEN(TRIM(AD11))=0</formula>
    </cfRule>
  </conditionalFormatting>
  <conditionalFormatting sqref="AL17:AN17 AD17:AJ17">
    <cfRule type="containsBlanks" dxfId="1032" priority="703">
      <formula>LEN(TRIM(AD17))=0</formula>
    </cfRule>
  </conditionalFormatting>
  <conditionalFormatting sqref="AK11">
    <cfRule type="containsBlanks" dxfId="1031" priority="701">
      <formula>LEN(TRIM(AK11))=0</formula>
    </cfRule>
  </conditionalFormatting>
  <conditionalFormatting sqref="AK13">
    <cfRule type="containsBlanks" dxfId="1030" priority="700">
      <formula>LEN(TRIM(AK13))=0</formula>
    </cfRule>
  </conditionalFormatting>
  <conditionalFormatting sqref="AK17">
    <cfRule type="containsBlanks" dxfId="1029" priority="699">
      <formula>LEN(TRIM(AK17))=0</formula>
    </cfRule>
  </conditionalFormatting>
  <conditionalFormatting sqref="DH13:DI13">
    <cfRule type="containsBlanks" dxfId="1028" priority="698">
      <formula>LEN(TRIM(DH13))=0</formula>
    </cfRule>
  </conditionalFormatting>
  <conditionalFormatting sqref="DF13">
    <cfRule type="containsBlanks" dxfId="1027" priority="694">
      <formula>LEN(TRIM(DF13))=0</formula>
    </cfRule>
  </conditionalFormatting>
  <conditionalFormatting sqref="AO13:BF13">
    <cfRule type="containsBlanks" dxfId="1026" priority="690">
      <formula>LEN(TRIM(AO13))=0</formula>
    </cfRule>
  </conditionalFormatting>
  <conditionalFormatting sqref="AO17:BF17 DF17:DI17">
    <cfRule type="containsBlanks" dxfId="1025" priority="684">
      <formula>LEN(TRIM(AO17))=0</formula>
    </cfRule>
  </conditionalFormatting>
  <conditionalFormatting sqref="AC32 H32:N32 P32:T32">
    <cfRule type="containsBlanks" dxfId="1024" priority="643">
      <formula>LEN(TRIM(H32))=0</formula>
    </cfRule>
  </conditionalFormatting>
  <conditionalFormatting sqref="H30:N30 AC30 P30:T30">
    <cfRule type="containsBlanks" dxfId="1023" priority="642">
      <formula>LEN(TRIM(H30))=0</formula>
    </cfRule>
  </conditionalFormatting>
  <conditionalFormatting sqref="U32:AB32">
    <cfRule type="containsBlanks" dxfId="1022" priority="641">
      <formula>LEN(TRIM(U32))=0</formula>
    </cfRule>
  </conditionalFormatting>
  <conditionalFormatting sqref="V30:AB30">
    <cfRule type="containsBlanks" dxfId="1021" priority="640">
      <formula>LEN(TRIM(V30))=0</formula>
    </cfRule>
  </conditionalFormatting>
  <conditionalFormatting sqref="U30">
    <cfRule type="containsBlanks" dxfId="1020" priority="639">
      <formula>LEN(TRIM(U30))=0</formula>
    </cfRule>
  </conditionalFormatting>
  <conditionalFormatting sqref="AC34 H34:N34 P34:T34">
    <cfRule type="containsBlanks" dxfId="1019" priority="638">
      <formula>LEN(TRIM(H34))=0</formula>
    </cfRule>
  </conditionalFormatting>
  <conditionalFormatting sqref="U34:AB34">
    <cfRule type="containsBlanks" dxfId="1018" priority="637">
      <formula>LEN(TRIM(U34))=0</formula>
    </cfRule>
  </conditionalFormatting>
  <conditionalFormatting sqref="O30">
    <cfRule type="containsBlanks" dxfId="1017" priority="636">
      <formula>LEN(TRIM(O30))=0</formula>
    </cfRule>
  </conditionalFormatting>
  <conditionalFormatting sqref="O32">
    <cfRule type="containsBlanks" dxfId="1016" priority="635">
      <formula>LEN(TRIM(O32))=0</formula>
    </cfRule>
  </conditionalFormatting>
  <conditionalFormatting sqref="O34">
    <cfRule type="containsBlanks" dxfId="1015" priority="634">
      <formula>LEN(TRIM(O34))=0</formula>
    </cfRule>
  </conditionalFormatting>
  <conditionalFormatting sqref="AL32:AN32 AD32:AJ32">
    <cfRule type="containsBlanks" dxfId="1014" priority="633">
      <formula>LEN(TRIM(AD32))=0</formula>
    </cfRule>
  </conditionalFormatting>
  <conditionalFormatting sqref="AD30:AJ30 DF30:DI30 AL30:BY30">
    <cfRule type="containsBlanks" dxfId="1013" priority="632">
      <formula>LEN(TRIM(AD30))=0</formula>
    </cfRule>
  </conditionalFormatting>
  <conditionalFormatting sqref="AL34:AN34 AD34:AJ34">
    <cfRule type="containsBlanks" dxfId="1012" priority="629">
      <formula>LEN(TRIM(AD34))=0</formula>
    </cfRule>
  </conditionalFormatting>
  <conditionalFormatting sqref="AK30">
    <cfRule type="containsBlanks" dxfId="1011" priority="628">
      <formula>LEN(TRIM(AK30))=0</formula>
    </cfRule>
  </conditionalFormatting>
  <conditionalFormatting sqref="AK32">
    <cfRule type="containsBlanks" dxfId="1010" priority="627">
      <formula>LEN(TRIM(AK32))=0</formula>
    </cfRule>
  </conditionalFormatting>
  <conditionalFormatting sqref="AK34">
    <cfRule type="containsBlanks" dxfId="1009" priority="626">
      <formula>LEN(TRIM(AK34))=0</formula>
    </cfRule>
  </conditionalFormatting>
  <conditionalFormatting sqref="DF32:DI32 AO32:BY32">
    <cfRule type="containsBlanks" dxfId="1008" priority="617">
      <formula>LEN(TRIM(AO32))=0</formula>
    </cfRule>
  </conditionalFormatting>
  <conditionalFormatting sqref="DF34:DI34 AO34:BY34">
    <cfRule type="containsBlanks" dxfId="1007" priority="611">
      <formula>LEN(TRIM(AO34))=0</formula>
    </cfRule>
  </conditionalFormatting>
  <conditionalFormatting sqref="AC53 H53:N53 P53:T53">
    <cfRule type="containsBlanks" dxfId="1006" priority="607">
      <formula>LEN(TRIM(H53))=0</formula>
    </cfRule>
  </conditionalFormatting>
  <conditionalFormatting sqref="H51:N51 AC51 P51:T51">
    <cfRule type="containsBlanks" dxfId="1005" priority="606">
      <formula>LEN(TRIM(H51))=0</formula>
    </cfRule>
  </conditionalFormatting>
  <conditionalFormatting sqref="U53:AB53">
    <cfRule type="containsBlanks" dxfId="1004" priority="605">
      <formula>LEN(TRIM(U53))=0</formula>
    </cfRule>
  </conditionalFormatting>
  <conditionalFormatting sqref="V51:AB51">
    <cfRule type="containsBlanks" dxfId="1003" priority="604">
      <formula>LEN(TRIM(V51))=0</formula>
    </cfRule>
  </conditionalFormatting>
  <conditionalFormatting sqref="U51">
    <cfRule type="containsBlanks" dxfId="1002" priority="603">
      <formula>LEN(TRIM(U51))=0</formula>
    </cfRule>
  </conditionalFormatting>
  <conditionalFormatting sqref="AC57 H57:N57 P57:T57">
    <cfRule type="containsBlanks" dxfId="1001" priority="602">
      <formula>LEN(TRIM(H57))=0</formula>
    </cfRule>
  </conditionalFormatting>
  <conditionalFormatting sqref="U57:AB57">
    <cfRule type="containsBlanks" dxfId="1000" priority="601">
      <formula>LEN(TRIM(U57))=0</formula>
    </cfRule>
  </conditionalFormatting>
  <conditionalFormatting sqref="O51">
    <cfRule type="containsBlanks" dxfId="999" priority="600">
      <formula>LEN(TRIM(O51))=0</formula>
    </cfRule>
  </conditionalFormatting>
  <conditionalFormatting sqref="O53">
    <cfRule type="containsBlanks" dxfId="998" priority="599">
      <formula>LEN(TRIM(O53))=0</formula>
    </cfRule>
  </conditionalFormatting>
  <conditionalFormatting sqref="O57">
    <cfRule type="containsBlanks" dxfId="997" priority="598">
      <formula>LEN(TRIM(O57))=0</formula>
    </cfRule>
  </conditionalFormatting>
  <conditionalFormatting sqref="AL53:AN53 AD53:AJ53">
    <cfRule type="containsBlanks" dxfId="996" priority="597">
      <formula>LEN(TRIM(AD53))=0</formula>
    </cfRule>
  </conditionalFormatting>
  <conditionalFormatting sqref="AD51:AJ51 DF51:DI51 AL51:BY51">
    <cfRule type="containsBlanks" dxfId="995" priority="596">
      <formula>LEN(TRIM(AD51))=0</formula>
    </cfRule>
  </conditionalFormatting>
  <conditionalFormatting sqref="AL57:AN57 AD57:AJ57">
    <cfRule type="containsBlanks" dxfId="994" priority="595">
      <formula>LEN(TRIM(AD57))=0</formula>
    </cfRule>
  </conditionalFormatting>
  <conditionalFormatting sqref="AK51">
    <cfRule type="containsBlanks" dxfId="993" priority="594">
      <formula>LEN(TRIM(AK51))=0</formula>
    </cfRule>
  </conditionalFormatting>
  <conditionalFormatting sqref="AK53">
    <cfRule type="containsBlanks" dxfId="992" priority="593">
      <formula>LEN(TRIM(AK53))=0</formula>
    </cfRule>
  </conditionalFormatting>
  <conditionalFormatting sqref="AK57">
    <cfRule type="containsBlanks" dxfId="991" priority="592">
      <formula>LEN(TRIM(AK57))=0</formula>
    </cfRule>
  </conditionalFormatting>
  <conditionalFormatting sqref="DF53:DI53 AO53:BY53">
    <cfRule type="containsBlanks" dxfId="990" priority="589">
      <formula>LEN(TRIM(AO53))=0</formula>
    </cfRule>
  </conditionalFormatting>
  <conditionalFormatting sqref="DF57:EC57 AO57:BY57">
    <cfRule type="containsBlanks" dxfId="989" priority="588">
      <formula>LEN(TRIM(AO57))=0</formula>
    </cfRule>
  </conditionalFormatting>
  <conditionalFormatting sqref="AK59">
    <cfRule type="containsBlanks" dxfId="988" priority="563">
      <formula>LEN(TRIM(AK59))=0</formula>
    </cfRule>
  </conditionalFormatting>
  <conditionalFormatting sqref="AC63 H63:N63 P63:T63">
    <cfRule type="containsBlanks" dxfId="987" priority="569">
      <formula>LEN(TRIM(H63))=0</formula>
    </cfRule>
  </conditionalFormatting>
  <conditionalFormatting sqref="U63:AB63">
    <cfRule type="containsBlanks" dxfId="986" priority="568">
      <formula>LEN(TRIM(U63))=0</formula>
    </cfRule>
  </conditionalFormatting>
  <conditionalFormatting sqref="O63">
    <cfRule type="containsBlanks" dxfId="985" priority="566">
      <formula>LEN(TRIM(O63))=0</formula>
    </cfRule>
  </conditionalFormatting>
  <conditionalFormatting sqref="AL63:AN63 AD63:AJ63">
    <cfRule type="containsBlanks" dxfId="984" priority="564">
      <formula>LEN(TRIM(AD63))=0</formula>
    </cfRule>
  </conditionalFormatting>
  <conditionalFormatting sqref="AK63">
    <cfRule type="containsBlanks" dxfId="983" priority="562">
      <formula>LEN(TRIM(AK63))=0</formula>
    </cfRule>
  </conditionalFormatting>
  <conditionalFormatting sqref="DF63:EC63 AO63:BY63">
    <cfRule type="containsBlanks" dxfId="982" priority="558">
      <formula>LEN(TRIM(AO63))=0</formula>
    </cfRule>
  </conditionalFormatting>
  <conditionalFormatting sqref="O76">
    <cfRule type="containsBlanks" dxfId="981" priority="548">
      <formula>LEN(TRIM(O76))=0</formula>
    </cfRule>
  </conditionalFormatting>
  <conditionalFormatting sqref="AC59 H59:N59 P59:T59">
    <cfRule type="containsBlanks" dxfId="980" priority="571">
      <formula>LEN(TRIM(H59))=0</formula>
    </cfRule>
  </conditionalFormatting>
  <conditionalFormatting sqref="U59:AB59">
    <cfRule type="containsBlanks" dxfId="979" priority="570">
      <formula>LEN(TRIM(U59))=0</formula>
    </cfRule>
  </conditionalFormatting>
  <conditionalFormatting sqref="O59">
    <cfRule type="containsBlanks" dxfId="978" priority="567">
      <formula>LEN(TRIM(O59))=0</formula>
    </cfRule>
  </conditionalFormatting>
  <conditionalFormatting sqref="AL59:AN59 AD59:AJ59">
    <cfRule type="containsBlanks" dxfId="977" priority="565">
      <formula>LEN(TRIM(AD59))=0</formula>
    </cfRule>
  </conditionalFormatting>
  <conditionalFormatting sqref="DF59:EC59 AO59:BY59">
    <cfRule type="containsBlanks" dxfId="976" priority="559">
      <formula>LEN(TRIM(AO59))=0</formula>
    </cfRule>
  </conditionalFormatting>
  <conditionalFormatting sqref="AC76 H76:N76 P76:T76">
    <cfRule type="containsBlanks" dxfId="975" priority="556">
      <formula>LEN(TRIM(H76))=0</formula>
    </cfRule>
  </conditionalFormatting>
  <conditionalFormatting sqref="H74:N74 AC74 P74:T74">
    <cfRule type="containsBlanks" dxfId="974" priority="555">
      <formula>LEN(TRIM(H74))=0</formula>
    </cfRule>
  </conditionalFormatting>
  <conditionalFormatting sqref="U76:AB76">
    <cfRule type="containsBlanks" dxfId="973" priority="554">
      <formula>LEN(TRIM(U76))=0</formula>
    </cfRule>
  </conditionalFormatting>
  <conditionalFormatting sqref="V74:AB74">
    <cfRule type="containsBlanks" dxfId="972" priority="553">
      <formula>LEN(TRIM(V74))=0</formula>
    </cfRule>
  </conditionalFormatting>
  <conditionalFormatting sqref="U74">
    <cfRule type="containsBlanks" dxfId="971" priority="552">
      <formula>LEN(TRIM(U74))=0</formula>
    </cfRule>
  </conditionalFormatting>
  <conditionalFormatting sqref="AC80 H80:N80 P80:T80">
    <cfRule type="containsBlanks" dxfId="970" priority="551">
      <formula>LEN(TRIM(H80))=0</formula>
    </cfRule>
  </conditionalFormatting>
  <conditionalFormatting sqref="U80:AB80">
    <cfRule type="containsBlanks" dxfId="969" priority="550">
      <formula>LEN(TRIM(U80))=0</formula>
    </cfRule>
  </conditionalFormatting>
  <conditionalFormatting sqref="O74">
    <cfRule type="containsBlanks" dxfId="968" priority="549">
      <formula>LEN(TRIM(O74))=0</formula>
    </cfRule>
  </conditionalFormatting>
  <conditionalFormatting sqref="O80">
    <cfRule type="containsBlanks" dxfId="967" priority="547">
      <formula>LEN(TRIM(O80))=0</formula>
    </cfRule>
  </conditionalFormatting>
  <conditionalFormatting sqref="AL76:AN76 AD76:AJ76">
    <cfRule type="containsBlanks" dxfId="966" priority="546">
      <formula>LEN(TRIM(AD76))=0</formula>
    </cfRule>
  </conditionalFormatting>
  <conditionalFormatting sqref="AD74:AJ74 DF74:DI74 AL74:BY74">
    <cfRule type="containsBlanks" dxfId="965" priority="545">
      <formula>LEN(TRIM(AD74))=0</formula>
    </cfRule>
  </conditionalFormatting>
  <conditionalFormatting sqref="AL80:AN80 AD80:AJ80">
    <cfRule type="containsBlanks" dxfId="964" priority="542">
      <formula>LEN(TRIM(AD80))=0</formula>
    </cfRule>
  </conditionalFormatting>
  <conditionalFormatting sqref="AK74">
    <cfRule type="containsBlanks" dxfId="963" priority="541">
      <formula>LEN(TRIM(AK74))=0</formula>
    </cfRule>
  </conditionalFormatting>
  <conditionalFormatting sqref="AK76">
    <cfRule type="containsBlanks" dxfId="962" priority="540">
      <formula>LEN(TRIM(AK76))=0</formula>
    </cfRule>
  </conditionalFormatting>
  <conditionalFormatting sqref="AK80">
    <cfRule type="containsBlanks" dxfId="961" priority="539">
      <formula>LEN(TRIM(AK80))=0</formula>
    </cfRule>
  </conditionalFormatting>
  <conditionalFormatting sqref="DF76:DI76 AO76:BY76">
    <cfRule type="containsBlanks" dxfId="960" priority="530">
      <formula>LEN(TRIM(AO76))=0</formula>
    </cfRule>
  </conditionalFormatting>
  <conditionalFormatting sqref="DF80:DI80 AO80:BY80">
    <cfRule type="containsBlanks" dxfId="959" priority="524">
      <formula>LEN(TRIM(AO80))=0</formula>
    </cfRule>
  </conditionalFormatting>
  <conditionalFormatting sqref="DF12:DI12 AO12:BY12">
    <cfRule type="cellIs" dxfId="958" priority="520" operator="greaterThanOrEqual">
      <formula>120</formula>
    </cfRule>
    <cfRule type="cellIs" dxfId="957" priority="521" operator="lessThan">
      <formula>120</formula>
    </cfRule>
  </conditionalFormatting>
  <conditionalFormatting sqref="DF14:EC14 AO14:BY14">
    <cfRule type="cellIs" dxfId="956" priority="471" operator="greaterThanOrEqual">
      <formula>120</formula>
    </cfRule>
    <cfRule type="cellIs" dxfId="955" priority="472" operator="lessThan">
      <formula>120</formula>
    </cfRule>
  </conditionalFormatting>
  <conditionalFormatting sqref="DF18:DI18 AO18:BY18">
    <cfRule type="cellIs" dxfId="954" priority="469" operator="greaterThanOrEqual">
      <formula>120</formula>
    </cfRule>
    <cfRule type="cellIs" dxfId="953" priority="470" operator="lessThan">
      <formula>120</formula>
    </cfRule>
  </conditionalFormatting>
  <conditionalFormatting sqref="DF31:DI31 AO31:BY31">
    <cfRule type="cellIs" dxfId="952" priority="443" operator="greaterThanOrEqual">
      <formula>120</formula>
    </cfRule>
    <cfRule type="cellIs" dxfId="951" priority="444" operator="lessThan">
      <formula>120</formula>
    </cfRule>
  </conditionalFormatting>
  <conditionalFormatting sqref="DF60:EC60 AO60:BY60">
    <cfRule type="cellIs" dxfId="950" priority="453" operator="greaterThanOrEqual">
      <formula>120</formula>
    </cfRule>
    <cfRule type="cellIs" dxfId="949" priority="454" operator="lessThan">
      <formula>120</formula>
    </cfRule>
  </conditionalFormatting>
  <conditionalFormatting sqref="DF81:DI81 AO81:BY81">
    <cfRule type="cellIs" dxfId="948" priority="421" operator="greaterThanOrEqual">
      <formula>120</formula>
    </cfRule>
    <cfRule type="cellIs" dxfId="947" priority="422" operator="lessThan">
      <formula>120</formula>
    </cfRule>
  </conditionalFormatting>
  <conditionalFormatting sqref="DF33:DI33 AO33:BY33">
    <cfRule type="cellIs" dxfId="946" priority="439" operator="greaterThanOrEqual">
      <formula>120</formula>
    </cfRule>
    <cfRule type="cellIs" dxfId="945" priority="440" operator="lessThan">
      <formula>120</formula>
    </cfRule>
  </conditionalFormatting>
  <conditionalFormatting sqref="DF35:DI35 AO35:BY35">
    <cfRule type="cellIs" dxfId="944" priority="437" operator="greaterThanOrEqual">
      <formula>120</formula>
    </cfRule>
    <cfRule type="cellIs" dxfId="943" priority="438" operator="lessThan">
      <formula>120</formula>
    </cfRule>
  </conditionalFormatting>
  <conditionalFormatting sqref="DF52:DI52 AO52:BY52">
    <cfRule type="cellIs" dxfId="942" priority="433" operator="greaterThanOrEqual">
      <formula>120</formula>
    </cfRule>
    <cfRule type="cellIs" dxfId="941" priority="434" operator="lessThan">
      <formula>120</formula>
    </cfRule>
  </conditionalFormatting>
  <conditionalFormatting sqref="DF54:DI54 AO54:BY54">
    <cfRule type="cellIs" dxfId="940" priority="431" operator="greaterThanOrEqual">
      <formula>120</formula>
    </cfRule>
    <cfRule type="cellIs" dxfId="939" priority="432" operator="lessThan">
      <formula>120</formula>
    </cfRule>
  </conditionalFormatting>
  <conditionalFormatting sqref="DF58:EC58 AO58:BY58">
    <cfRule type="cellIs" dxfId="938" priority="429" operator="greaterThanOrEqual">
      <formula>120</formula>
    </cfRule>
    <cfRule type="cellIs" dxfId="937" priority="430" operator="lessThan">
      <formula>120</formula>
    </cfRule>
  </conditionalFormatting>
  <conditionalFormatting sqref="DF64:DG64 AO64:BY64">
    <cfRule type="cellIs" dxfId="936" priority="427" operator="greaterThanOrEqual">
      <formula>120</formula>
    </cfRule>
    <cfRule type="cellIs" dxfId="935" priority="428" operator="lessThan">
      <formula>120</formula>
    </cfRule>
  </conditionalFormatting>
  <conditionalFormatting sqref="DF75:DI75 AO75:BY75">
    <cfRule type="cellIs" dxfId="934" priority="425" operator="greaterThanOrEqual">
      <formula>120</formula>
    </cfRule>
    <cfRule type="cellIs" dxfId="933" priority="426" operator="lessThan">
      <formula>120</formula>
    </cfRule>
  </conditionalFormatting>
  <conditionalFormatting sqref="DF77:DI77 AO77:BY77">
    <cfRule type="cellIs" dxfId="932" priority="423" operator="greaterThanOrEqual">
      <formula>120</formula>
    </cfRule>
    <cfRule type="cellIs" dxfId="931" priority="424" operator="lessThan">
      <formula>120</formula>
    </cfRule>
  </conditionalFormatting>
  <conditionalFormatting sqref="DH64:EC64">
    <cfRule type="cellIs" dxfId="930" priority="419" operator="greaterThanOrEqual">
      <formula>120</formula>
    </cfRule>
    <cfRule type="cellIs" dxfId="929" priority="420" operator="lessThan">
      <formula>120</formula>
    </cfRule>
  </conditionalFormatting>
  <conditionalFormatting sqref="EB13">
    <cfRule type="containsBlanks" dxfId="928" priority="400">
      <formula>LEN(TRIM(EB13))=0</formula>
    </cfRule>
  </conditionalFormatting>
  <conditionalFormatting sqref="DJ11:EC11">
    <cfRule type="containsBlanks" dxfId="927" priority="399">
      <formula>LEN(TRIM(DJ11))=0</formula>
    </cfRule>
  </conditionalFormatting>
  <conditionalFormatting sqref="EC13">
    <cfRule type="containsBlanks" dxfId="926" priority="398">
      <formula>LEN(TRIM(EC13))=0</formula>
    </cfRule>
  </conditionalFormatting>
  <conditionalFormatting sqref="DY13:EA13">
    <cfRule type="containsBlanks" dxfId="925" priority="397">
      <formula>LEN(TRIM(DY13))=0</formula>
    </cfRule>
  </conditionalFormatting>
  <conditionalFormatting sqref="DJ13:DL13 DN13:DR13">
    <cfRule type="containsBlanks" dxfId="924" priority="396">
      <formula>LEN(TRIM(DJ13))=0</formula>
    </cfRule>
  </conditionalFormatting>
  <conditionalFormatting sqref="DS13">
    <cfRule type="containsBlanks" dxfId="923" priority="395">
      <formula>LEN(TRIM(DS13))=0</formula>
    </cfRule>
  </conditionalFormatting>
  <conditionalFormatting sqref="DM13">
    <cfRule type="containsBlanks" dxfId="922" priority="394">
      <formula>LEN(TRIM(DM13))=0</formula>
    </cfRule>
  </conditionalFormatting>
  <conditionalFormatting sqref="DT13">
    <cfRule type="containsBlanks" dxfId="921" priority="390">
      <formula>LEN(TRIM(DT13))=0</formula>
    </cfRule>
  </conditionalFormatting>
  <conditionalFormatting sqref="DU13:DW13">
    <cfRule type="containsBlanks" dxfId="920" priority="392">
      <formula>LEN(TRIM(DU13))=0</formula>
    </cfRule>
  </conditionalFormatting>
  <conditionalFormatting sqref="DX13">
    <cfRule type="containsBlanks" dxfId="919" priority="391">
      <formula>LEN(TRIM(DX13))=0</formula>
    </cfRule>
  </conditionalFormatting>
  <conditionalFormatting sqref="DJ17:EC17">
    <cfRule type="containsBlanks" dxfId="918" priority="389">
      <formula>LEN(TRIM(DJ17))=0</formula>
    </cfRule>
  </conditionalFormatting>
  <conditionalFormatting sqref="DJ12:EC12">
    <cfRule type="cellIs" dxfId="917" priority="387" operator="greaterThanOrEqual">
      <formula>120</formula>
    </cfRule>
    <cfRule type="cellIs" dxfId="916" priority="388" operator="lessThan">
      <formula>120</formula>
    </cfRule>
  </conditionalFormatting>
  <conditionalFormatting sqref="DJ18:EC18">
    <cfRule type="cellIs" dxfId="915" priority="383" operator="greaterThanOrEqual">
      <formula>120</formula>
    </cfRule>
    <cfRule type="cellIs" dxfId="914" priority="384" operator="lessThan">
      <formula>120</formula>
    </cfRule>
  </conditionalFormatting>
  <conditionalFormatting sqref="DJ81:EC81">
    <cfRule type="cellIs" dxfId="913" priority="345" operator="greaterThanOrEqual">
      <formula>120</formula>
    </cfRule>
    <cfRule type="cellIs" dxfId="912" priority="346" operator="lessThan">
      <formula>120</formula>
    </cfRule>
  </conditionalFormatting>
  <conditionalFormatting sqref="DJ30:EC30">
    <cfRule type="containsBlanks" dxfId="911" priority="382">
      <formula>LEN(TRIM(DJ30))=0</formula>
    </cfRule>
  </conditionalFormatting>
  <conditionalFormatting sqref="DJ32:EC32">
    <cfRule type="containsBlanks" dxfId="910" priority="381">
      <formula>LEN(TRIM(DJ32))=0</formula>
    </cfRule>
  </conditionalFormatting>
  <conditionalFormatting sqref="DJ34:EC34">
    <cfRule type="containsBlanks" dxfId="909" priority="380">
      <formula>LEN(TRIM(DJ34))=0</formula>
    </cfRule>
  </conditionalFormatting>
  <conditionalFormatting sqref="DJ31:EC31">
    <cfRule type="cellIs" dxfId="908" priority="377" operator="greaterThanOrEqual">
      <formula>120</formula>
    </cfRule>
    <cfRule type="cellIs" dxfId="907" priority="378" operator="lessThan">
      <formula>120</formula>
    </cfRule>
  </conditionalFormatting>
  <conditionalFormatting sqref="DJ33:EC33">
    <cfRule type="cellIs" dxfId="906" priority="375" operator="greaterThanOrEqual">
      <formula>120</formula>
    </cfRule>
    <cfRule type="cellIs" dxfId="905" priority="376" operator="lessThan">
      <formula>120</formula>
    </cfRule>
  </conditionalFormatting>
  <conditionalFormatting sqref="DJ35:EC35">
    <cfRule type="cellIs" dxfId="904" priority="373" operator="greaterThanOrEqual">
      <formula>120</formula>
    </cfRule>
    <cfRule type="cellIs" dxfId="903" priority="374" operator="lessThan">
      <formula>120</formula>
    </cfRule>
  </conditionalFormatting>
  <conditionalFormatting sqref="DJ51:EC51">
    <cfRule type="containsBlanks" dxfId="902" priority="370">
      <formula>LEN(TRIM(DJ51))=0</formula>
    </cfRule>
  </conditionalFormatting>
  <conditionalFormatting sqref="DJ53:EC53">
    <cfRule type="containsBlanks" dxfId="901" priority="369">
      <formula>LEN(TRIM(DJ53))=0</formula>
    </cfRule>
  </conditionalFormatting>
  <conditionalFormatting sqref="DJ52:EC52">
    <cfRule type="cellIs" dxfId="900" priority="362" operator="greaterThanOrEqual">
      <formula>120</formula>
    </cfRule>
    <cfRule type="cellIs" dxfId="899" priority="363" operator="lessThan">
      <formula>120</formula>
    </cfRule>
  </conditionalFormatting>
  <conditionalFormatting sqref="DJ54:EC54">
    <cfRule type="cellIs" dxfId="898" priority="360" operator="greaterThanOrEqual">
      <formula>120</formula>
    </cfRule>
    <cfRule type="cellIs" dxfId="897" priority="361" operator="lessThan">
      <formula>120</formula>
    </cfRule>
  </conditionalFormatting>
  <conditionalFormatting sqref="DJ74:EC74">
    <cfRule type="containsBlanks" dxfId="896" priority="353">
      <formula>LEN(TRIM(DJ74))=0</formula>
    </cfRule>
  </conditionalFormatting>
  <conditionalFormatting sqref="DJ76:EC76">
    <cfRule type="containsBlanks" dxfId="895" priority="352">
      <formula>LEN(TRIM(DJ76))=0</formula>
    </cfRule>
  </conditionalFormatting>
  <conditionalFormatting sqref="DJ80:EC80">
    <cfRule type="containsBlanks" dxfId="894" priority="351">
      <formula>LEN(TRIM(DJ80))=0</formula>
    </cfRule>
  </conditionalFormatting>
  <conditionalFormatting sqref="DJ75:EC75">
    <cfRule type="cellIs" dxfId="893" priority="349" operator="greaterThanOrEqual">
      <formula>120</formula>
    </cfRule>
    <cfRule type="cellIs" dxfId="892" priority="350" operator="lessThan">
      <formula>120</formula>
    </cfRule>
  </conditionalFormatting>
  <conditionalFormatting sqref="DJ77:EC77">
    <cfRule type="cellIs" dxfId="891" priority="347" operator="greaterThanOrEqual">
      <formula>120</formula>
    </cfRule>
    <cfRule type="cellIs" dxfId="890" priority="348" operator="lessThan">
      <formula>120</formula>
    </cfRule>
  </conditionalFormatting>
  <conditionalFormatting sqref="AC36 H36:N36 P36:T36">
    <cfRule type="containsBlanks" dxfId="889" priority="344">
      <formula>LEN(TRIM(H36))=0</formula>
    </cfRule>
  </conditionalFormatting>
  <conditionalFormatting sqref="U36:AB36">
    <cfRule type="containsBlanks" dxfId="888" priority="343">
      <formula>LEN(TRIM(U36))=0</formula>
    </cfRule>
  </conditionalFormatting>
  <conditionalFormatting sqref="O36">
    <cfRule type="containsBlanks" dxfId="887" priority="342">
      <formula>LEN(TRIM(O36))=0</formula>
    </cfRule>
  </conditionalFormatting>
  <conditionalFormatting sqref="AL36:AN36 AD36:AJ36">
    <cfRule type="containsBlanks" dxfId="886" priority="341">
      <formula>LEN(TRIM(AD36))=0</formula>
    </cfRule>
  </conditionalFormatting>
  <conditionalFormatting sqref="AK36">
    <cfRule type="containsBlanks" dxfId="885" priority="340">
      <formula>LEN(TRIM(AK36))=0</formula>
    </cfRule>
  </conditionalFormatting>
  <conditionalFormatting sqref="AO36:BF36 DF36:DI36">
    <cfRule type="containsBlanks" dxfId="884" priority="339">
      <formula>LEN(TRIM(AO36))=0</formula>
    </cfRule>
  </conditionalFormatting>
  <conditionalFormatting sqref="AO37:BF37 DF37:DI37">
    <cfRule type="cellIs" dxfId="883" priority="337" operator="greaterThanOrEqual">
      <formula>120</formula>
    </cfRule>
    <cfRule type="cellIs" dxfId="882" priority="338" operator="lessThan">
      <formula>120</formula>
    </cfRule>
  </conditionalFormatting>
  <conditionalFormatting sqref="DJ36:EC36">
    <cfRule type="containsBlanks" dxfId="881" priority="336">
      <formula>LEN(TRIM(DJ36))=0</formula>
    </cfRule>
  </conditionalFormatting>
  <conditionalFormatting sqref="DJ37:EC37">
    <cfRule type="cellIs" dxfId="880" priority="334" operator="greaterThanOrEqual">
      <formula>120</formula>
    </cfRule>
    <cfRule type="cellIs" dxfId="879" priority="335" operator="lessThan">
      <formula>120</formula>
    </cfRule>
  </conditionalFormatting>
  <conditionalFormatting sqref="DG9">
    <cfRule type="containsBlanks" dxfId="878" priority="333">
      <formula>LEN(TRIM(DG9))=0</formula>
    </cfRule>
  </conditionalFormatting>
  <conditionalFormatting sqref="AC9 H9:N9 P9:T9">
    <cfRule type="containsBlanks" dxfId="877" priority="332">
      <formula>LEN(TRIM(H9))=0</formula>
    </cfRule>
  </conditionalFormatting>
  <conditionalFormatting sqref="U9:AB9">
    <cfRule type="containsBlanks" dxfId="876" priority="331">
      <formula>LEN(TRIM(U9))=0</formula>
    </cfRule>
  </conditionalFormatting>
  <conditionalFormatting sqref="O9">
    <cfRule type="containsBlanks" dxfId="875" priority="330">
      <formula>LEN(TRIM(O9))=0</formula>
    </cfRule>
  </conditionalFormatting>
  <conditionalFormatting sqref="AL9:AN9 AD9:AJ9">
    <cfRule type="containsBlanks" dxfId="874" priority="329">
      <formula>LEN(TRIM(AD9))=0</formula>
    </cfRule>
  </conditionalFormatting>
  <conditionalFormatting sqref="AK9">
    <cfRule type="containsBlanks" dxfId="873" priority="328">
      <formula>LEN(TRIM(AK9))=0</formula>
    </cfRule>
  </conditionalFormatting>
  <conditionalFormatting sqref="DH9:DI9">
    <cfRule type="containsBlanks" dxfId="872" priority="327">
      <formula>LEN(TRIM(DH9))=0</formula>
    </cfRule>
  </conditionalFormatting>
  <conditionalFormatting sqref="DF9">
    <cfRule type="containsBlanks" dxfId="871" priority="326">
      <formula>LEN(TRIM(DF9))=0</formula>
    </cfRule>
  </conditionalFormatting>
  <conditionalFormatting sqref="AO9:BF9">
    <cfRule type="containsBlanks" dxfId="870" priority="325">
      <formula>LEN(TRIM(AO9))=0</formula>
    </cfRule>
  </conditionalFormatting>
  <conditionalFormatting sqref="AO10:BF10 DF10:EC10">
    <cfRule type="cellIs" dxfId="869" priority="323" operator="greaterThanOrEqual">
      <formula>120</formula>
    </cfRule>
    <cfRule type="cellIs" dxfId="868" priority="324" operator="lessThan">
      <formula>120</formula>
    </cfRule>
  </conditionalFormatting>
  <conditionalFormatting sqref="EB9">
    <cfRule type="containsBlanks" dxfId="867" priority="322">
      <formula>LEN(TRIM(EB9))=0</formula>
    </cfRule>
  </conditionalFormatting>
  <conditionalFormatting sqref="EC9">
    <cfRule type="containsBlanks" dxfId="866" priority="321">
      <formula>LEN(TRIM(EC9))=0</formula>
    </cfRule>
  </conditionalFormatting>
  <conditionalFormatting sqref="DY9:EA9">
    <cfRule type="containsBlanks" dxfId="865" priority="320">
      <formula>LEN(TRIM(DY9))=0</formula>
    </cfRule>
  </conditionalFormatting>
  <conditionalFormatting sqref="DJ9:DL9 DN9:DR9">
    <cfRule type="containsBlanks" dxfId="864" priority="319">
      <formula>LEN(TRIM(DJ9))=0</formula>
    </cfRule>
  </conditionalFormatting>
  <conditionalFormatting sqref="DS9">
    <cfRule type="containsBlanks" dxfId="863" priority="318">
      <formula>LEN(TRIM(DS9))=0</formula>
    </cfRule>
  </conditionalFormatting>
  <conditionalFormatting sqref="DM9">
    <cfRule type="containsBlanks" dxfId="862" priority="317">
      <formula>LEN(TRIM(DM9))=0</formula>
    </cfRule>
  </conditionalFormatting>
  <conditionalFormatting sqref="DT9">
    <cfRule type="containsBlanks" dxfId="861" priority="314">
      <formula>LEN(TRIM(DT9))=0</formula>
    </cfRule>
  </conditionalFormatting>
  <conditionalFormatting sqref="DU9:DW9">
    <cfRule type="containsBlanks" dxfId="860" priority="316">
      <formula>LEN(TRIM(DU9))=0</formula>
    </cfRule>
  </conditionalFormatting>
  <conditionalFormatting sqref="DX9">
    <cfRule type="containsBlanks" dxfId="859" priority="315">
      <formula>LEN(TRIM(DX9))=0</formula>
    </cfRule>
  </conditionalFormatting>
  <conditionalFormatting sqref="O82">
    <cfRule type="containsBlanks" dxfId="858" priority="311">
      <formula>LEN(TRIM(O82))=0</formula>
    </cfRule>
  </conditionalFormatting>
  <conditionalFormatting sqref="AC82 H82:N82 P82:T82">
    <cfRule type="containsBlanks" dxfId="857" priority="313">
      <formula>LEN(TRIM(H82))=0</formula>
    </cfRule>
  </conditionalFormatting>
  <conditionalFormatting sqref="U82:AB82">
    <cfRule type="containsBlanks" dxfId="856" priority="312">
      <formula>LEN(TRIM(U82))=0</formula>
    </cfRule>
  </conditionalFormatting>
  <conditionalFormatting sqref="AL82:AN82 AD82:AJ82">
    <cfRule type="containsBlanks" dxfId="855" priority="310">
      <formula>LEN(TRIM(AD82))=0</formula>
    </cfRule>
  </conditionalFormatting>
  <conditionalFormatting sqref="AK82">
    <cfRule type="containsBlanks" dxfId="854" priority="309">
      <formula>LEN(TRIM(AK82))=0</formula>
    </cfRule>
  </conditionalFormatting>
  <conditionalFormatting sqref="DF82:DI82 AO82:BY82">
    <cfRule type="containsBlanks" dxfId="853" priority="308">
      <formula>LEN(TRIM(AO82))=0</formula>
    </cfRule>
  </conditionalFormatting>
  <conditionalFormatting sqref="DF83:DI83 AO83:BY83">
    <cfRule type="cellIs" dxfId="852" priority="306" operator="greaterThanOrEqual">
      <formula>120</formula>
    </cfRule>
    <cfRule type="cellIs" dxfId="851" priority="307" operator="lessThan">
      <formula>120</formula>
    </cfRule>
  </conditionalFormatting>
  <conditionalFormatting sqref="DJ82:EC82">
    <cfRule type="containsBlanks" dxfId="850" priority="305">
      <formula>LEN(TRIM(DJ82))=0</formula>
    </cfRule>
  </conditionalFormatting>
  <conditionalFormatting sqref="DJ83:EC83">
    <cfRule type="cellIs" dxfId="849" priority="303" operator="greaterThanOrEqual">
      <formula>120</formula>
    </cfRule>
    <cfRule type="cellIs" dxfId="848" priority="304" operator="lessThan">
      <formula>120</formula>
    </cfRule>
  </conditionalFormatting>
  <conditionalFormatting sqref="CB13 BG13:BY13">
    <cfRule type="containsBlanks" dxfId="847" priority="302">
      <formula>LEN(TRIM(BG13))=0</formula>
    </cfRule>
  </conditionalFormatting>
  <conditionalFormatting sqref="CB11 BG11:BY11">
    <cfRule type="containsBlanks" dxfId="846" priority="301">
      <formula>LEN(TRIM(BG11))=0</formula>
    </cfRule>
  </conditionalFormatting>
  <conditionalFormatting sqref="BZ13:CA13">
    <cfRule type="containsBlanks" dxfId="845" priority="300">
      <formula>LEN(TRIM(BZ13))=0</formula>
    </cfRule>
  </conditionalFormatting>
  <conditionalFormatting sqref="BZ11:CA11">
    <cfRule type="containsBlanks" dxfId="844" priority="299">
      <formula>LEN(TRIM(BZ11))=0</formula>
    </cfRule>
  </conditionalFormatting>
  <conditionalFormatting sqref="CB17 BG17:BY17">
    <cfRule type="containsBlanks" dxfId="843" priority="297">
      <formula>LEN(TRIM(BG17))=0</formula>
    </cfRule>
  </conditionalFormatting>
  <conditionalFormatting sqref="BZ17:CA17">
    <cfRule type="containsBlanks" dxfId="842" priority="296">
      <formula>LEN(TRIM(BZ17))=0</formula>
    </cfRule>
  </conditionalFormatting>
  <conditionalFormatting sqref="CK13:CM13 CC13:CI13">
    <cfRule type="containsBlanks" dxfId="841" priority="292">
      <formula>LEN(TRIM(CC13))=0</formula>
    </cfRule>
  </conditionalFormatting>
  <conditionalFormatting sqref="CC11:CI11 CK11:DE11">
    <cfRule type="containsBlanks" dxfId="840" priority="291">
      <formula>LEN(TRIM(CC11))=0</formula>
    </cfRule>
  </conditionalFormatting>
  <conditionalFormatting sqref="CK17:CM17 CC17:CI17">
    <cfRule type="containsBlanks" dxfId="839" priority="290">
      <formula>LEN(TRIM(CC17))=0</formula>
    </cfRule>
  </conditionalFormatting>
  <conditionalFormatting sqref="CJ11">
    <cfRule type="containsBlanks" dxfId="838" priority="289">
      <formula>LEN(TRIM(CJ11))=0</formula>
    </cfRule>
  </conditionalFormatting>
  <conditionalFormatting sqref="CJ13">
    <cfRule type="containsBlanks" dxfId="837" priority="288">
      <formula>LEN(TRIM(CJ13))=0</formula>
    </cfRule>
  </conditionalFormatting>
  <conditionalFormatting sqref="CJ17">
    <cfRule type="containsBlanks" dxfId="836" priority="287">
      <formula>LEN(TRIM(CJ17))=0</formula>
    </cfRule>
  </conditionalFormatting>
  <conditionalFormatting sqref="CN13:DE13">
    <cfRule type="containsBlanks" dxfId="835" priority="286">
      <formula>LEN(TRIM(CN13))=0</formula>
    </cfRule>
  </conditionalFormatting>
  <conditionalFormatting sqref="CN17:DE17">
    <cfRule type="containsBlanks" dxfId="834" priority="285">
      <formula>LEN(TRIM(CN17))=0</formula>
    </cfRule>
  </conditionalFormatting>
  <conditionalFormatting sqref="CB32">
    <cfRule type="containsBlanks" dxfId="833" priority="284">
      <formula>LEN(TRIM(CB32))=0</formula>
    </cfRule>
  </conditionalFormatting>
  <conditionalFormatting sqref="CB30">
    <cfRule type="containsBlanks" dxfId="832" priority="283">
      <formula>LEN(TRIM(CB30))=0</formula>
    </cfRule>
  </conditionalFormatting>
  <conditionalFormatting sqref="BZ32:CA32">
    <cfRule type="containsBlanks" dxfId="831" priority="282">
      <formula>LEN(TRIM(BZ32))=0</formula>
    </cfRule>
  </conditionalFormatting>
  <conditionalFormatting sqref="BZ30:CA30">
    <cfRule type="containsBlanks" dxfId="830" priority="281">
      <formula>LEN(TRIM(BZ30))=0</formula>
    </cfRule>
  </conditionalFormatting>
  <conditionalFormatting sqref="CB34">
    <cfRule type="containsBlanks" dxfId="829" priority="279">
      <formula>LEN(TRIM(CB34))=0</formula>
    </cfRule>
  </conditionalFormatting>
  <conditionalFormatting sqref="BZ34:CA34">
    <cfRule type="containsBlanks" dxfId="828" priority="278">
      <formula>LEN(TRIM(BZ34))=0</formula>
    </cfRule>
  </conditionalFormatting>
  <conditionalFormatting sqref="CK32:CM32 CC32:CI32">
    <cfRule type="containsBlanks" dxfId="827" priority="274">
      <formula>LEN(TRIM(CC32))=0</formula>
    </cfRule>
  </conditionalFormatting>
  <conditionalFormatting sqref="CC30:CI30 CK30:DE30">
    <cfRule type="containsBlanks" dxfId="826" priority="273">
      <formula>LEN(TRIM(CC30))=0</formula>
    </cfRule>
  </conditionalFormatting>
  <conditionalFormatting sqref="CK34:CM34 CC34:CI34">
    <cfRule type="containsBlanks" dxfId="825" priority="272">
      <formula>LEN(TRIM(CC34))=0</formula>
    </cfRule>
  </conditionalFormatting>
  <conditionalFormatting sqref="CJ30">
    <cfRule type="containsBlanks" dxfId="824" priority="271">
      <formula>LEN(TRIM(CJ30))=0</formula>
    </cfRule>
  </conditionalFormatting>
  <conditionalFormatting sqref="CJ32">
    <cfRule type="containsBlanks" dxfId="823" priority="270">
      <formula>LEN(TRIM(CJ32))=0</formula>
    </cfRule>
  </conditionalFormatting>
  <conditionalFormatting sqref="CJ34">
    <cfRule type="containsBlanks" dxfId="822" priority="269">
      <formula>LEN(TRIM(CJ34))=0</formula>
    </cfRule>
  </conditionalFormatting>
  <conditionalFormatting sqref="CN32:DE32">
    <cfRule type="containsBlanks" dxfId="821" priority="268">
      <formula>LEN(TRIM(CN32))=0</formula>
    </cfRule>
  </conditionalFormatting>
  <conditionalFormatting sqref="CN34:DE34">
    <cfRule type="containsBlanks" dxfId="820" priority="267">
      <formula>LEN(TRIM(CN34))=0</formula>
    </cfRule>
  </conditionalFormatting>
  <conditionalFormatting sqref="CB53">
    <cfRule type="containsBlanks" dxfId="819" priority="266">
      <formula>LEN(TRIM(CB53))=0</formula>
    </cfRule>
  </conditionalFormatting>
  <conditionalFormatting sqref="CB51">
    <cfRule type="containsBlanks" dxfId="818" priority="265">
      <formula>LEN(TRIM(CB51))=0</formula>
    </cfRule>
  </conditionalFormatting>
  <conditionalFormatting sqref="BZ53:CA53">
    <cfRule type="containsBlanks" dxfId="817" priority="264">
      <formula>LEN(TRIM(BZ53))=0</formula>
    </cfRule>
  </conditionalFormatting>
  <conditionalFormatting sqref="BZ51:CA51">
    <cfRule type="containsBlanks" dxfId="816" priority="263">
      <formula>LEN(TRIM(BZ51))=0</formula>
    </cfRule>
  </conditionalFormatting>
  <conditionalFormatting sqref="CB57">
    <cfRule type="containsBlanks" dxfId="815" priority="261">
      <formula>LEN(TRIM(CB57))=0</formula>
    </cfRule>
  </conditionalFormatting>
  <conditionalFormatting sqref="BZ57:CA57">
    <cfRule type="containsBlanks" dxfId="814" priority="260">
      <formula>LEN(TRIM(BZ57))=0</formula>
    </cfRule>
  </conditionalFormatting>
  <conditionalFormatting sqref="CK53:CM53 CC53:CI53">
    <cfRule type="containsBlanks" dxfId="813" priority="256">
      <formula>LEN(TRIM(CC53))=0</formula>
    </cfRule>
  </conditionalFormatting>
  <conditionalFormatting sqref="CC51:CI51 CK51:DE51">
    <cfRule type="containsBlanks" dxfId="812" priority="255">
      <formula>LEN(TRIM(CC51))=0</formula>
    </cfRule>
  </conditionalFormatting>
  <conditionalFormatting sqref="CK57:CM57 CC57:CI57">
    <cfRule type="containsBlanks" dxfId="811" priority="254">
      <formula>LEN(TRIM(CC57))=0</formula>
    </cfRule>
  </conditionalFormatting>
  <conditionalFormatting sqref="CJ51">
    <cfRule type="containsBlanks" dxfId="810" priority="253">
      <formula>LEN(TRIM(CJ51))=0</formula>
    </cfRule>
  </conditionalFormatting>
  <conditionalFormatting sqref="CJ53">
    <cfRule type="containsBlanks" dxfId="809" priority="252">
      <formula>LEN(TRIM(CJ53))=0</formula>
    </cfRule>
  </conditionalFormatting>
  <conditionalFormatting sqref="CJ57">
    <cfRule type="containsBlanks" dxfId="808" priority="251">
      <formula>LEN(TRIM(CJ57))=0</formula>
    </cfRule>
  </conditionalFormatting>
  <conditionalFormatting sqref="CN53:DE53">
    <cfRule type="containsBlanks" dxfId="807" priority="250">
      <formula>LEN(TRIM(CN53))=0</formula>
    </cfRule>
  </conditionalFormatting>
  <conditionalFormatting sqref="CN57:DE57">
    <cfRule type="containsBlanks" dxfId="806" priority="249">
      <formula>LEN(TRIM(CN57))=0</formula>
    </cfRule>
  </conditionalFormatting>
  <conditionalFormatting sqref="CJ59">
    <cfRule type="containsBlanks" dxfId="805" priority="240">
      <formula>LEN(TRIM(CJ59))=0</formula>
    </cfRule>
  </conditionalFormatting>
  <conditionalFormatting sqref="CB63">
    <cfRule type="containsBlanks" dxfId="804" priority="246">
      <formula>LEN(TRIM(CB63))=0</formula>
    </cfRule>
  </conditionalFormatting>
  <conditionalFormatting sqref="BZ63:CA63">
    <cfRule type="containsBlanks" dxfId="803" priority="245">
      <formula>LEN(TRIM(BZ63))=0</formula>
    </cfRule>
  </conditionalFormatting>
  <conditionalFormatting sqref="CK63:CM63 CC63:CI63">
    <cfRule type="containsBlanks" dxfId="802" priority="241">
      <formula>LEN(TRIM(CC63))=0</formula>
    </cfRule>
  </conditionalFormatting>
  <conditionalFormatting sqref="CJ63">
    <cfRule type="containsBlanks" dxfId="801" priority="239">
      <formula>LEN(TRIM(CJ63))=0</formula>
    </cfRule>
  </conditionalFormatting>
  <conditionalFormatting sqref="CN63:DE63">
    <cfRule type="containsBlanks" dxfId="800" priority="237">
      <formula>LEN(TRIM(CN63))=0</formula>
    </cfRule>
  </conditionalFormatting>
  <conditionalFormatting sqref="CB59">
    <cfRule type="containsBlanks" dxfId="799" priority="248">
      <formula>LEN(TRIM(CB59))=0</formula>
    </cfRule>
  </conditionalFormatting>
  <conditionalFormatting sqref="BZ59:CA59">
    <cfRule type="containsBlanks" dxfId="798" priority="247">
      <formula>LEN(TRIM(BZ59))=0</formula>
    </cfRule>
  </conditionalFormatting>
  <conditionalFormatting sqref="CK59:CM59 CC59:CI59">
    <cfRule type="containsBlanks" dxfId="797" priority="242">
      <formula>LEN(TRIM(CC59))=0</formula>
    </cfRule>
  </conditionalFormatting>
  <conditionalFormatting sqref="CN59:DE59">
    <cfRule type="containsBlanks" dxfId="796" priority="238">
      <formula>LEN(TRIM(CN59))=0</formula>
    </cfRule>
  </conditionalFormatting>
  <conditionalFormatting sqref="CB76">
    <cfRule type="containsBlanks" dxfId="795" priority="236">
      <formula>LEN(TRIM(CB76))=0</formula>
    </cfRule>
  </conditionalFormatting>
  <conditionalFormatting sqref="CB74">
    <cfRule type="containsBlanks" dxfId="794" priority="235">
      <formula>LEN(TRIM(CB74))=0</formula>
    </cfRule>
  </conditionalFormatting>
  <conditionalFormatting sqref="BZ76:CA76">
    <cfRule type="containsBlanks" dxfId="793" priority="234">
      <formula>LEN(TRIM(BZ76))=0</formula>
    </cfRule>
  </conditionalFormatting>
  <conditionalFormatting sqref="BZ74:CA74">
    <cfRule type="containsBlanks" dxfId="792" priority="233">
      <formula>LEN(TRIM(BZ74))=0</formula>
    </cfRule>
  </conditionalFormatting>
  <conditionalFormatting sqref="CB80">
    <cfRule type="containsBlanks" dxfId="791" priority="231">
      <formula>LEN(TRIM(CB80))=0</formula>
    </cfRule>
  </conditionalFormatting>
  <conditionalFormatting sqref="BZ80:CA80">
    <cfRule type="containsBlanks" dxfId="790" priority="230">
      <formula>LEN(TRIM(BZ80))=0</formula>
    </cfRule>
  </conditionalFormatting>
  <conditionalFormatting sqref="CK76:CM76 CC76:CI76">
    <cfRule type="containsBlanks" dxfId="789" priority="226">
      <formula>LEN(TRIM(CC76))=0</formula>
    </cfRule>
  </conditionalFormatting>
  <conditionalFormatting sqref="CC74:CI74 CK74:DE74">
    <cfRule type="containsBlanks" dxfId="788" priority="225">
      <formula>LEN(TRIM(CC74))=0</formula>
    </cfRule>
  </conditionalFormatting>
  <conditionalFormatting sqref="CK80:CM80 CC80:CI80">
    <cfRule type="containsBlanks" dxfId="787" priority="224">
      <formula>LEN(TRIM(CC80))=0</formula>
    </cfRule>
  </conditionalFormatting>
  <conditionalFormatting sqref="CJ74">
    <cfRule type="containsBlanks" dxfId="786" priority="223">
      <formula>LEN(TRIM(CJ74))=0</formula>
    </cfRule>
  </conditionalFormatting>
  <conditionalFormatting sqref="CJ76">
    <cfRule type="containsBlanks" dxfId="785" priority="222">
      <formula>LEN(TRIM(CJ76))=0</formula>
    </cfRule>
  </conditionalFormatting>
  <conditionalFormatting sqref="CJ80">
    <cfRule type="containsBlanks" dxfId="784" priority="221">
      <formula>LEN(TRIM(CJ80))=0</formula>
    </cfRule>
  </conditionalFormatting>
  <conditionalFormatting sqref="CN76:DE76">
    <cfRule type="containsBlanks" dxfId="783" priority="220">
      <formula>LEN(TRIM(CN76))=0</formula>
    </cfRule>
  </conditionalFormatting>
  <conditionalFormatting sqref="CN80:DE80">
    <cfRule type="containsBlanks" dxfId="782" priority="219">
      <formula>LEN(TRIM(CN80))=0</formula>
    </cfRule>
  </conditionalFormatting>
  <conditionalFormatting sqref="CN12:DE12">
    <cfRule type="cellIs" dxfId="781" priority="217" operator="greaterThanOrEqual">
      <formula>120</formula>
    </cfRule>
    <cfRule type="cellIs" dxfId="780" priority="218" operator="lessThan">
      <formula>120</formula>
    </cfRule>
  </conditionalFormatting>
  <conditionalFormatting sqref="CN14:DE14">
    <cfRule type="cellIs" dxfId="779" priority="215" operator="greaterThanOrEqual">
      <formula>120</formula>
    </cfRule>
    <cfRule type="cellIs" dxfId="778" priority="216" operator="lessThan">
      <formula>120</formula>
    </cfRule>
  </conditionalFormatting>
  <conditionalFormatting sqref="CN18:DE18">
    <cfRule type="cellIs" dxfId="777" priority="213" operator="greaterThanOrEqual">
      <formula>120</formula>
    </cfRule>
    <cfRule type="cellIs" dxfId="776" priority="214" operator="lessThan">
      <formula>120</formula>
    </cfRule>
  </conditionalFormatting>
  <conditionalFormatting sqref="CN31:DE31">
    <cfRule type="cellIs" dxfId="775" priority="209" operator="greaterThanOrEqual">
      <formula>120</formula>
    </cfRule>
    <cfRule type="cellIs" dxfId="774" priority="210" operator="lessThan">
      <formula>120</formula>
    </cfRule>
  </conditionalFormatting>
  <conditionalFormatting sqref="CN60:DE60">
    <cfRule type="cellIs" dxfId="773" priority="211" operator="greaterThanOrEqual">
      <formula>120</formula>
    </cfRule>
    <cfRule type="cellIs" dxfId="772" priority="212" operator="lessThan">
      <formula>120</formula>
    </cfRule>
  </conditionalFormatting>
  <conditionalFormatting sqref="CN81:DE81">
    <cfRule type="cellIs" dxfId="771" priority="191" operator="greaterThanOrEqual">
      <formula>120</formula>
    </cfRule>
    <cfRule type="cellIs" dxfId="770" priority="192" operator="lessThan">
      <formula>120</formula>
    </cfRule>
  </conditionalFormatting>
  <conditionalFormatting sqref="CN33:DE33">
    <cfRule type="cellIs" dxfId="769" priority="207" operator="greaterThanOrEqual">
      <formula>120</formula>
    </cfRule>
    <cfRule type="cellIs" dxfId="768" priority="208" operator="lessThan">
      <formula>120</formula>
    </cfRule>
  </conditionalFormatting>
  <conditionalFormatting sqref="CN35:DE35">
    <cfRule type="cellIs" dxfId="767" priority="205" operator="greaterThanOrEqual">
      <formula>120</formula>
    </cfRule>
    <cfRule type="cellIs" dxfId="766" priority="206" operator="lessThan">
      <formula>120</formula>
    </cfRule>
  </conditionalFormatting>
  <conditionalFormatting sqref="CN52:DE52">
    <cfRule type="cellIs" dxfId="765" priority="203" operator="greaterThanOrEqual">
      <formula>120</formula>
    </cfRule>
    <cfRule type="cellIs" dxfId="764" priority="204" operator="lessThan">
      <formula>120</formula>
    </cfRule>
  </conditionalFormatting>
  <conditionalFormatting sqref="CN54:DE54">
    <cfRule type="cellIs" dxfId="763" priority="201" operator="greaterThanOrEqual">
      <formula>120</formula>
    </cfRule>
    <cfRule type="cellIs" dxfId="762" priority="202" operator="lessThan">
      <formula>120</formula>
    </cfRule>
  </conditionalFormatting>
  <conditionalFormatting sqref="CN58:DE58">
    <cfRule type="cellIs" dxfId="761" priority="199" operator="greaterThanOrEqual">
      <formula>120</formula>
    </cfRule>
    <cfRule type="cellIs" dxfId="760" priority="200" operator="lessThan">
      <formula>120</formula>
    </cfRule>
  </conditionalFormatting>
  <conditionalFormatting sqref="CN64:DE64">
    <cfRule type="cellIs" dxfId="759" priority="197" operator="greaterThanOrEqual">
      <formula>120</formula>
    </cfRule>
    <cfRule type="cellIs" dxfId="758" priority="198" operator="lessThan">
      <formula>120</formula>
    </cfRule>
  </conditionalFormatting>
  <conditionalFormatting sqref="CN75:DE75">
    <cfRule type="cellIs" dxfId="757" priority="195" operator="greaterThanOrEqual">
      <formula>120</formula>
    </cfRule>
    <cfRule type="cellIs" dxfId="756" priority="196" operator="lessThan">
      <formula>120</formula>
    </cfRule>
  </conditionalFormatting>
  <conditionalFormatting sqref="CN77:DE77">
    <cfRule type="cellIs" dxfId="755" priority="193" operator="greaterThanOrEqual">
      <formula>120</formula>
    </cfRule>
    <cfRule type="cellIs" dxfId="754" priority="194" operator="lessThan">
      <formula>120</formula>
    </cfRule>
  </conditionalFormatting>
  <conditionalFormatting sqref="CB36 BG36:BY36">
    <cfRule type="containsBlanks" dxfId="753" priority="190">
      <formula>LEN(TRIM(BG36))=0</formula>
    </cfRule>
  </conditionalFormatting>
  <conditionalFormatting sqref="BZ36:CA36">
    <cfRule type="containsBlanks" dxfId="752" priority="189">
      <formula>LEN(TRIM(BZ36))=0</formula>
    </cfRule>
  </conditionalFormatting>
  <conditionalFormatting sqref="CK36:CM36 CC36:CI36">
    <cfRule type="containsBlanks" dxfId="751" priority="187">
      <formula>LEN(TRIM(CC36))=0</formula>
    </cfRule>
  </conditionalFormatting>
  <conditionalFormatting sqref="CJ36">
    <cfRule type="containsBlanks" dxfId="750" priority="186">
      <formula>LEN(TRIM(CJ36))=0</formula>
    </cfRule>
  </conditionalFormatting>
  <conditionalFormatting sqref="CN36:DE36">
    <cfRule type="containsBlanks" dxfId="749" priority="185">
      <formula>LEN(TRIM(CN36))=0</formula>
    </cfRule>
  </conditionalFormatting>
  <conditionalFormatting sqref="CN37:DE37">
    <cfRule type="cellIs" dxfId="748" priority="183" operator="greaterThanOrEqual">
      <formula>120</formula>
    </cfRule>
    <cfRule type="cellIs" dxfId="747" priority="184" operator="lessThan">
      <formula>120</formula>
    </cfRule>
  </conditionalFormatting>
  <conditionalFormatting sqref="CB9 BG9:BY9">
    <cfRule type="containsBlanks" dxfId="746" priority="182">
      <formula>LEN(TRIM(BG9))=0</formula>
    </cfRule>
  </conditionalFormatting>
  <conditionalFormatting sqref="BZ9:CA9">
    <cfRule type="containsBlanks" dxfId="745" priority="181">
      <formula>LEN(TRIM(BZ9))=0</formula>
    </cfRule>
  </conditionalFormatting>
  <conditionalFormatting sqref="CK9:CM9 CC9:CI9">
    <cfRule type="containsBlanks" dxfId="744" priority="179">
      <formula>LEN(TRIM(CC9))=0</formula>
    </cfRule>
  </conditionalFormatting>
  <conditionalFormatting sqref="CJ9">
    <cfRule type="containsBlanks" dxfId="743" priority="178">
      <formula>LEN(TRIM(CJ9))=0</formula>
    </cfRule>
  </conditionalFormatting>
  <conditionalFormatting sqref="CN9:DE9">
    <cfRule type="containsBlanks" dxfId="742" priority="177">
      <formula>LEN(TRIM(CN9))=0</formula>
    </cfRule>
  </conditionalFormatting>
  <conditionalFormatting sqref="CN10:DE10">
    <cfRule type="cellIs" dxfId="741" priority="175" operator="greaterThanOrEqual">
      <formula>120</formula>
    </cfRule>
    <cfRule type="cellIs" dxfId="740" priority="176" operator="lessThan">
      <formula>120</formula>
    </cfRule>
  </conditionalFormatting>
  <conditionalFormatting sqref="CB82">
    <cfRule type="containsBlanks" dxfId="739" priority="174">
      <formula>LEN(TRIM(CB82))=0</formula>
    </cfRule>
  </conditionalFormatting>
  <conditionalFormatting sqref="BZ82:CA82">
    <cfRule type="containsBlanks" dxfId="738" priority="173">
      <formula>LEN(TRIM(BZ82))=0</formula>
    </cfRule>
  </conditionalFormatting>
  <conditionalFormatting sqref="CK82:CM82 CC82:CI82">
    <cfRule type="containsBlanks" dxfId="737" priority="171">
      <formula>LEN(TRIM(CC82))=0</formula>
    </cfRule>
  </conditionalFormatting>
  <conditionalFormatting sqref="CJ82">
    <cfRule type="containsBlanks" dxfId="736" priority="170">
      <formula>LEN(TRIM(CJ82))=0</formula>
    </cfRule>
  </conditionalFormatting>
  <conditionalFormatting sqref="CN82:DE82">
    <cfRule type="containsBlanks" dxfId="735" priority="169">
      <formula>LEN(TRIM(CN82))=0</formula>
    </cfRule>
  </conditionalFormatting>
  <conditionalFormatting sqref="CN83:DE83">
    <cfRule type="cellIs" dxfId="734" priority="167" operator="greaterThanOrEqual">
      <formula>120</formula>
    </cfRule>
    <cfRule type="cellIs" dxfId="733" priority="168" operator="lessThan">
      <formula>120</formula>
    </cfRule>
  </conditionalFormatting>
  <conditionalFormatting sqref="DG19">
    <cfRule type="containsBlanks" dxfId="732" priority="166">
      <formula>LEN(TRIM(DG19))=0</formula>
    </cfRule>
  </conditionalFormatting>
  <conditionalFormatting sqref="AC19 H19:N19 P19:T19">
    <cfRule type="containsBlanks" dxfId="731" priority="165">
      <formula>LEN(TRIM(H19))=0</formula>
    </cfRule>
  </conditionalFormatting>
  <conditionalFormatting sqref="U19:AB19">
    <cfRule type="containsBlanks" dxfId="730" priority="164">
      <formula>LEN(TRIM(U19))=0</formula>
    </cfRule>
  </conditionalFormatting>
  <conditionalFormatting sqref="O19">
    <cfRule type="containsBlanks" dxfId="729" priority="163">
      <formula>LEN(TRIM(O19))=0</formula>
    </cfRule>
  </conditionalFormatting>
  <conditionalFormatting sqref="AL19:AN19 AD19:AJ19">
    <cfRule type="containsBlanks" dxfId="728" priority="162">
      <formula>LEN(TRIM(AD19))=0</formula>
    </cfRule>
  </conditionalFormatting>
  <conditionalFormatting sqref="AK19">
    <cfRule type="containsBlanks" dxfId="727" priority="161">
      <formula>LEN(TRIM(AK19))=0</formula>
    </cfRule>
  </conditionalFormatting>
  <conditionalFormatting sqref="DH19:DI19">
    <cfRule type="containsBlanks" dxfId="726" priority="160">
      <formula>LEN(TRIM(DH19))=0</formula>
    </cfRule>
  </conditionalFormatting>
  <conditionalFormatting sqref="DF19">
    <cfRule type="containsBlanks" dxfId="725" priority="159">
      <formula>LEN(TRIM(DF19))=0</formula>
    </cfRule>
  </conditionalFormatting>
  <conditionalFormatting sqref="AO19:BF19">
    <cfRule type="containsBlanks" dxfId="724" priority="158">
      <formula>LEN(TRIM(AO19))=0</formula>
    </cfRule>
  </conditionalFormatting>
  <conditionalFormatting sqref="DF20:EC20 AO20:BY20">
    <cfRule type="cellIs" dxfId="723" priority="156" operator="greaterThanOrEqual">
      <formula>120</formula>
    </cfRule>
    <cfRule type="cellIs" dxfId="722" priority="157" operator="lessThan">
      <formula>120</formula>
    </cfRule>
  </conditionalFormatting>
  <conditionalFormatting sqref="EB19">
    <cfRule type="containsBlanks" dxfId="721" priority="155">
      <formula>LEN(TRIM(EB19))=0</formula>
    </cfRule>
  </conditionalFormatting>
  <conditionalFormatting sqref="EC19">
    <cfRule type="containsBlanks" dxfId="720" priority="154">
      <formula>LEN(TRIM(EC19))=0</formula>
    </cfRule>
  </conditionalFormatting>
  <conditionalFormatting sqref="DY19:EA19">
    <cfRule type="containsBlanks" dxfId="719" priority="153">
      <formula>LEN(TRIM(DY19))=0</formula>
    </cfRule>
  </conditionalFormatting>
  <conditionalFormatting sqref="DJ19:DL19 DN19:DR19">
    <cfRule type="containsBlanks" dxfId="718" priority="152">
      <formula>LEN(TRIM(DJ19))=0</formula>
    </cfRule>
  </conditionalFormatting>
  <conditionalFormatting sqref="DS19">
    <cfRule type="containsBlanks" dxfId="717" priority="151">
      <formula>LEN(TRIM(DS19))=0</formula>
    </cfRule>
  </conditionalFormatting>
  <conditionalFormatting sqref="DM19">
    <cfRule type="containsBlanks" dxfId="716" priority="150">
      <formula>LEN(TRIM(DM19))=0</formula>
    </cfRule>
  </conditionalFormatting>
  <conditionalFormatting sqref="DT19">
    <cfRule type="containsBlanks" dxfId="715" priority="147">
      <formula>LEN(TRIM(DT19))=0</formula>
    </cfRule>
  </conditionalFormatting>
  <conditionalFormatting sqref="DU19:DW19">
    <cfRule type="containsBlanks" dxfId="714" priority="149">
      <formula>LEN(TRIM(DU19))=0</formula>
    </cfRule>
  </conditionalFormatting>
  <conditionalFormatting sqref="DX19">
    <cfRule type="containsBlanks" dxfId="713" priority="148">
      <formula>LEN(TRIM(DX19))=0</formula>
    </cfRule>
  </conditionalFormatting>
  <conditionalFormatting sqref="CB19 BG19:BY19">
    <cfRule type="containsBlanks" dxfId="712" priority="146">
      <formula>LEN(TRIM(BG19))=0</formula>
    </cfRule>
  </conditionalFormatting>
  <conditionalFormatting sqref="BZ19:CA19">
    <cfRule type="containsBlanks" dxfId="711" priority="145">
      <formula>LEN(TRIM(BZ19))=0</formula>
    </cfRule>
  </conditionalFormatting>
  <conditionalFormatting sqref="CK19:CM19 CC19:CI19">
    <cfRule type="containsBlanks" dxfId="710" priority="143">
      <formula>LEN(TRIM(CC19))=0</formula>
    </cfRule>
  </conditionalFormatting>
  <conditionalFormatting sqref="CJ19">
    <cfRule type="containsBlanks" dxfId="709" priority="142">
      <formula>LEN(TRIM(CJ19))=0</formula>
    </cfRule>
  </conditionalFormatting>
  <conditionalFormatting sqref="CN19:DE19">
    <cfRule type="containsBlanks" dxfId="708" priority="141">
      <formula>LEN(TRIM(CN19))=0</formula>
    </cfRule>
  </conditionalFormatting>
  <conditionalFormatting sqref="CN20:DE20">
    <cfRule type="cellIs" dxfId="707" priority="139" operator="greaterThanOrEqual">
      <formula>120</formula>
    </cfRule>
    <cfRule type="cellIs" dxfId="706" priority="140" operator="lessThan">
      <formula>120</formula>
    </cfRule>
  </conditionalFormatting>
  <conditionalFormatting sqref="AC38 H38:N38 P38:T38">
    <cfRule type="containsBlanks" dxfId="705" priority="138">
      <formula>LEN(TRIM(H38))=0</formula>
    </cfRule>
  </conditionalFormatting>
  <conditionalFormatting sqref="U38:AB38">
    <cfRule type="containsBlanks" dxfId="704" priority="137">
      <formula>LEN(TRIM(U38))=0</formula>
    </cfRule>
  </conditionalFormatting>
  <conditionalFormatting sqref="O38">
    <cfRule type="containsBlanks" dxfId="703" priority="136">
      <formula>LEN(TRIM(O38))=0</formula>
    </cfRule>
  </conditionalFormatting>
  <conditionalFormatting sqref="AL38:AN38 AD38:AJ38">
    <cfRule type="containsBlanks" dxfId="702" priority="135">
      <formula>LEN(TRIM(AD38))=0</formula>
    </cfRule>
  </conditionalFormatting>
  <conditionalFormatting sqref="AK38">
    <cfRule type="containsBlanks" dxfId="701" priority="134">
      <formula>LEN(TRIM(AK38))=0</formula>
    </cfRule>
  </conditionalFormatting>
  <conditionalFormatting sqref="AO38:BF38 DF38:DI38">
    <cfRule type="containsBlanks" dxfId="700" priority="133">
      <formula>LEN(TRIM(AO38))=0</formula>
    </cfRule>
  </conditionalFormatting>
  <conditionalFormatting sqref="AO39:BF39 DF39:DI39">
    <cfRule type="cellIs" dxfId="699" priority="131" operator="greaterThanOrEqual">
      <formula>120</formula>
    </cfRule>
    <cfRule type="cellIs" dxfId="698" priority="132" operator="lessThan">
      <formula>120</formula>
    </cfRule>
  </conditionalFormatting>
  <conditionalFormatting sqref="DJ38:EC38">
    <cfRule type="containsBlanks" dxfId="697" priority="130">
      <formula>LEN(TRIM(DJ38))=0</formula>
    </cfRule>
  </conditionalFormatting>
  <conditionalFormatting sqref="DJ39:EC39">
    <cfRule type="cellIs" dxfId="696" priority="128" operator="greaterThanOrEqual">
      <formula>120</formula>
    </cfRule>
    <cfRule type="cellIs" dxfId="695" priority="129" operator="lessThan">
      <formula>120</formula>
    </cfRule>
  </conditionalFormatting>
  <conditionalFormatting sqref="CB38 BG38:BY38">
    <cfRule type="containsBlanks" dxfId="694" priority="127">
      <formula>LEN(TRIM(BG38))=0</formula>
    </cfRule>
  </conditionalFormatting>
  <conditionalFormatting sqref="BZ38:CA38">
    <cfRule type="containsBlanks" dxfId="693" priority="126">
      <formula>LEN(TRIM(BZ38))=0</formula>
    </cfRule>
  </conditionalFormatting>
  <conditionalFormatting sqref="CK38:CM38 CC38:CI38">
    <cfRule type="containsBlanks" dxfId="692" priority="124">
      <formula>LEN(TRIM(CC38))=0</formula>
    </cfRule>
  </conditionalFormatting>
  <conditionalFormatting sqref="CJ38">
    <cfRule type="containsBlanks" dxfId="691" priority="123">
      <formula>LEN(TRIM(CJ38))=0</formula>
    </cfRule>
  </conditionalFormatting>
  <conditionalFormatting sqref="CN38:DE38">
    <cfRule type="containsBlanks" dxfId="690" priority="122">
      <formula>LEN(TRIM(CN38))=0</formula>
    </cfRule>
  </conditionalFormatting>
  <conditionalFormatting sqref="CN39:DE39">
    <cfRule type="cellIs" dxfId="689" priority="120" operator="greaterThanOrEqual">
      <formula>120</formula>
    </cfRule>
    <cfRule type="cellIs" dxfId="688" priority="121" operator="lessThan">
      <formula>120</formula>
    </cfRule>
  </conditionalFormatting>
  <conditionalFormatting sqref="BJ39:BY39">
    <cfRule type="cellIs" dxfId="687" priority="118" operator="greaterThanOrEqual">
      <formula>120</formula>
    </cfRule>
    <cfRule type="cellIs" dxfId="686" priority="119" operator="lessThan">
      <formula>120</formula>
    </cfRule>
  </conditionalFormatting>
  <conditionalFormatting sqref="BJ37:BY37">
    <cfRule type="cellIs" dxfId="685" priority="116" operator="greaterThanOrEqual">
      <formula>120</formula>
    </cfRule>
    <cfRule type="cellIs" dxfId="684" priority="117" operator="lessThan">
      <formula>120</formula>
    </cfRule>
  </conditionalFormatting>
  <conditionalFormatting sqref="H15:N15 AC15 P15:T15">
    <cfRule type="containsBlanks" dxfId="683" priority="115">
      <formula>LEN(TRIM(H15))=0</formula>
    </cfRule>
  </conditionalFormatting>
  <conditionalFormatting sqref="V15:AB15">
    <cfRule type="containsBlanks" dxfId="682" priority="114">
      <formula>LEN(TRIM(V15))=0</formula>
    </cfRule>
  </conditionalFormatting>
  <conditionalFormatting sqref="U15">
    <cfRule type="containsBlanks" dxfId="681" priority="113">
      <formula>LEN(TRIM(U15))=0</formula>
    </cfRule>
  </conditionalFormatting>
  <conditionalFormatting sqref="O15">
    <cfRule type="containsBlanks" dxfId="680" priority="112">
      <formula>LEN(TRIM(O15))=0</formula>
    </cfRule>
  </conditionalFormatting>
  <conditionalFormatting sqref="AD15:AJ15 AL15:BF15 DF15:DI15">
    <cfRule type="containsBlanks" dxfId="679" priority="111">
      <formula>LEN(TRIM(AD15))=0</formula>
    </cfRule>
  </conditionalFormatting>
  <conditionalFormatting sqref="AK15">
    <cfRule type="containsBlanks" dxfId="678" priority="110">
      <formula>LEN(TRIM(AK15))=0</formula>
    </cfRule>
  </conditionalFormatting>
  <conditionalFormatting sqref="DF16:DI16 AO16:BY16">
    <cfRule type="cellIs" dxfId="677" priority="108" operator="greaterThanOrEqual">
      <formula>120</formula>
    </cfRule>
    <cfRule type="cellIs" dxfId="676" priority="109" operator="lessThan">
      <formula>120</formula>
    </cfRule>
  </conditionalFormatting>
  <conditionalFormatting sqref="DJ15:EC15">
    <cfRule type="containsBlanks" dxfId="675" priority="107">
      <formula>LEN(TRIM(DJ15))=0</formula>
    </cfRule>
  </conditionalFormatting>
  <conditionalFormatting sqref="DJ16:EC16">
    <cfRule type="cellIs" dxfId="674" priority="105" operator="greaterThanOrEqual">
      <formula>120</formula>
    </cfRule>
    <cfRule type="cellIs" dxfId="673" priority="106" operator="lessThan">
      <formula>120</formula>
    </cfRule>
  </conditionalFormatting>
  <conditionalFormatting sqref="CB15 BG15:BY15">
    <cfRule type="containsBlanks" dxfId="672" priority="104">
      <formula>LEN(TRIM(BG15))=0</formula>
    </cfRule>
  </conditionalFormatting>
  <conditionalFormatting sqref="BZ15:CA15">
    <cfRule type="containsBlanks" dxfId="671" priority="103">
      <formula>LEN(TRIM(BZ15))=0</formula>
    </cfRule>
  </conditionalFormatting>
  <conditionalFormatting sqref="CC15:CI15 CK15:DE15">
    <cfRule type="containsBlanks" dxfId="670" priority="100">
      <formula>LEN(TRIM(CC15))=0</formula>
    </cfRule>
  </conditionalFormatting>
  <conditionalFormatting sqref="CJ15">
    <cfRule type="containsBlanks" dxfId="669" priority="99">
      <formula>LEN(TRIM(CJ15))=0</formula>
    </cfRule>
  </conditionalFormatting>
  <conditionalFormatting sqref="CN16:DE16">
    <cfRule type="cellIs" dxfId="668" priority="97" operator="greaterThanOrEqual">
      <formula>120</formula>
    </cfRule>
    <cfRule type="cellIs" dxfId="667" priority="98" operator="lessThan">
      <formula>120</formula>
    </cfRule>
  </conditionalFormatting>
  <conditionalFormatting sqref="BJ10:BY10">
    <cfRule type="cellIs" dxfId="666" priority="95" operator="greaterThanOrEqual">
      <formula>120</formula>
    </cfRule>
    <cfRule type="cellIs" dxfId="665" priority="96" operator="lessThan">
      <formula>120</formula>
    </cfRule>
  </conditionalFormatting>
  <conditionalFormatting sqref="AK55">
    <cfRule type="containsBlanks" dxfId="664" priority="90">
      <formula>LEN(TRIM(AK55))=0</formula>
    </cfRule>
  </conditionalFormatting>
  <conditionalFormatting sqref="AC55 H55:N55 P55:T55">
    <cfRule type="containsBlanks" dxfId="663" priority="94">
      <formula>LEN(TRIM(H55))=0</formula>
    </cfRule>
  </conditionalFormatting>
  <conditionalFormatting sqref="U55:AB55">
    <cfRule type="containsBlanks" dxfId="662" priority="93">
      <formula>LEN(TRIM(U55))=0</formula>
    </cfRule>
  </conditionalFormatting>
  <conditionalFormatting sqref="O55">
    <cfRule type="containsBlanks" dxfId="661" priority="92">
      <formula>LEN(TRIM(O55))=0</formula>
    </cfRule>
  </conditionalFormatting>
  <conditionalFormatting sqref="AL55:AN55 AD55:AJ55">
    <cfRule type="containsBlanks" dxfId="660" priority="91">
      <formula>LEN(TRIM(AD55))=0</formula>
    </cfRule>
  </conditionalFormatting>
  <conditionalFormatting sqref="AO55:BF55 DF55:EC55">
    <cfRule type="containsBlanks" dxfId="659" priority="89">
      <formula>LEN(TRIM(AO55))=0</formula>
    </cfRule>
  </conditionalFormatting>
  <conditionalFormatting sqref="AO56:BF56 DF56:EC56">
    <cfRule type="cellIs" dxfId="658" priority="87" operator="greaterThanOrEqual">
      <formula>120</formula>
    </cfRule>
    <cfRule type="cellIs" dxfId="657" priority="88" operator="lessThan">
      <formula>120</formula>
    </cfRule>
  </conditionalFormatting>
  <conditionalFormatting sqref="CJ55">
    <cfRule type="containsBlanks" dxfId="656" priority="82">
      <formula>LEN(TRIM(CJ55))=0</formula>
    </cfRule>
  </conditionalFormatting>
  <conditionalFormatting sqref="CB55 BG55:BY55">
    <cfRule type="containsBlanks" dxfId="655" priority="86">
      <formula>LEN(TRIM(BG55))=0</formula>
    </cfRule>
  </conditionalFormatting>
  <conditionalFormatting sqref="BZ55:CA55">
    <cfRule type="containsBlanks" dxfId="654" priority="85">
      <formula>LEN(TRIM(BZ55))=0</formula>
    </cfRule>
  </conditionalFormatting>
  <conditionalFormatting sqref="CK55:CM55 CC55:CI55">
    <cfRule type="containsBlanks" dxfId="653" priority="83">
      <formula>LEN(TRIM(CC55))=0</formula>
    </cfRule>
  </conditionalFormatting>
  <conditionalFormatting sqref="CN55:DE55">
    <cfRule type="containsBlanks" dxfId="652" priority="81">
      <formula>LEN(TRIM(CN55))=0</formula>
    </cfRule>
  </conditionalFormatting>
  <conditionalFormatting sqref="CN56:DE56">
    <cfRule type="cellIs" dxfId="651" priority="79" operator="greaterThanOrEqual">
      <formula>120</formula>
    </cfRule>
    <cfRule type="cellIs" dxfId="650" priority="80" operator="lessThan">
      <formula>120</formula>
    </cfRule>
  </conditionalFormatting>
  <conditionalFormatting sqref="BJ56:BY56">
    <cfRule type="cellIs" dxfId="649" priority="77" operator="greaterThanOrEqual">
      <formula>120</formula>
    </cfRule>
    <cfRule type="cellIs" dxfId="648" priority="78" operator="lessThan">
      <formula>120</formula>
    </cfRule>
  </conditionalFormatting>
  <conditionalFormatting sqref="AC40 H40:N40 P40:T40">
    <cfRule type="containsBlanks" dxfId="647" priority="58">
      <formula>LEN(TRIM(H40))=0</formula>
    </cfRule>
  </conditionalFormatting>
  <conditionalFormatting sqref="U40:AB40">
    <cfRule type="containsBlanks" dxfId="646" priority="57">
      <formula>LEN(TRIM(U40))=0</formula>
    </cfRule>
  </conditionalFormatting>
  <conditionalFormatting sqref="O40">
    <cfRule type="containsBlanks" dxfId="645" priority="56">
      <formula>LEN(TRIM(O40))=0</formula>
    </cfRule>
  </conditionalFormatting>
  <conditionalFormatting sqref="AL40:AN40 AD40:AJ40">
    <cfRule type="containsBlanks" dxfId="644" priority="55">
      <formula>LEN(TRIM(AD40))=0</formula>
    </cfRule>
  </conditionalFormatting>
  <conditionalFormatting sqref="AK40">
    <cfRule type="containsBlanks" dxfId="643" priority="54">
      <formula>LEN(TRIM(AK40))=0</formula>
    </cfRule>
  </conditionalFormatting>
  <conditionalFormatting sqref="AO40:BF40 DF40:DI40">
    <cfRule type="containsBlanks" dxfId="642" priority="53">
      <formula>LEN(TRIM(AO40))=0</formula>
    </cfRule>
  </conditionalFormatting>
  <conditionalFormatting sqref="DF41:DI41 AO41:BY41">
    <cfRule type="cellIs" dxfId="641" priority="51" operator="greaterThanOrEqual">
      <formula>120</formula>
    </cfRule>
    <cfRule type="cellIs" dxfId="640" priority="52" operator="lessThan">
      <formula>120</formula>
    </cfRule>
  </conditionalFormatting>
  <conditionalFormatting sqref="DJ40:EC40">
    <cfRule type="containsBlanks" dxfId="639" priority="50">
      <formula>LEN(TRIM(DJ40))=0</formula>
    </cfRule>
  </conditionalFormatting>
  <conditionalFormatting sqref="DJ41:EC41">
    <cfRule type="cellIs" dxfId="638" priority="48" operator="greaterThanOrEqual">
      <formula>120</formula>
    </cfRule>
    <cfRule type="cellIs" dxfId="637" priority="49" operator="lessThan">
      <formula>120</formula>
    </cfRule>
  </conditionalFormatting>
  <conditionalFormatting sqref="CB40 BG40:BY40">
    <cfRule type="containsBlanks" dxfId="636" priority="47">
      <formula>LEN(TRIM(BG40))=0</formula>
    </cfRule>
  </conditionalFormatting>
  <conditionalFormatting sqref="BZ40:CA40">
    <cfRule type="containsBlanks" dxfId="635" priority="46">
      <formula>LEN(TRIM(BZ40))=0</formula>
    </cfRule>
  </conditionalFormatting>
  <conditionalFormatting sqref="CK40:CM40 CC40:CI40">
    <cfRule type="containsBlanks" dxfId="634" priority="45">
      <formula>LEN(TRIM(CC40))=0</formula>
    </cfRule>
  </conditionalFormatting>
  <conditionalFormatting sqref="CJ40">
    <cfRule type="containsBlanks" dxfId="633" priority="44">
      <formula>LEN(TRIM(CJ40))=0</formula>
    </cfRule>
  </conditionalFormatting>
  <conditionalFormatting sqref="CN40:DE40">
    <cfRule type="containsBlanks" dxfId="632" priority="43">
      <formula>LEN(TRIM(CN40))=0</formula>
    </cfRule>
  </conditionalFormatting>
  <conditionalFormatting sqref="CN41:DE41">
    <cfRule type="cellIs" dxfId="631" priority="41" operator="greaterThanOrEqual">
      <formula>120</formula>
    </cfRule>
    <cfRule type="cellIs" dxfId="630" priority="42" operator="lessThan">
      <formula>120</formula>
    </cfRule>
  </conditionalFormatting>
  <conditionalFormatting sqref="AC61 H61:N61 P61:T61">
    <cfRule type="containsBlanks" dxfId="629" priority="40">
      <formula>LEN(TRIM(H61))=0</formula>
    </cfRule>
  </conditionalFormatting>
  <conditionalFormatting sqref="U61:AB61">
    <cfRule type="containsBlanks" dxfId="628" priority="39">
      <formula>LEN(TRIM(U61))=0</formula>
    </cfRule>
  </conditionalFormatting>
  <conditionalFormatting sqref="O61">
    <cfRule type="containsBlanks" dxfId="627" priority="38">
      <formula>LEN(TRIM(O61))=0</formula>
    </cfRule>
  </conditionalFormatting>
  <conditionalFormatting sqref="AL61:AN61 AD61:AJ61">
    <cfRule type="containsBlanks" dxfId="626" priority="37">
      <formula>LEN(TRIM(AD61))=0</formula>
    </cfRule>
  </conditionalFormatting>
  <conditionalFormatting sqref="AK61">
    <cfRule type="containsBlanks" dxfId="625" priority="36">
      <formula>LEN(TRIM(AK61))=0</formula>
    </cfRule>
  </conditionalFormatting>
  <conditionalFormatting sqref="AO61:BF61 DF61:DI61">
    <cfRule type="containsBlanks" dxfId="624" priority="35">
      <formula>LEN(TRIM(AO61))=0</formula>
    </cfRule>
  </conditionalFormatting>
  <conditionalFormatting sqref="DF62:DI62 AO62:BY62">
    <cfRule type="cellIs" dxfId="623" priority="33" operator="greaterThanOrEqual">
      <formula>120</formula>
    </cfRule>
    <cfRule type="cellIs" dxfId="622" priority="34" operator="lessThan">
      <formula>120</formula>
    </cfRule>
  </conditionalFormatting>
  <conditionalFormatting sqref="DJ61:EC61">
    <cfRule type="containsBlanks" dxfId="621" priority="32">
      <formula>LEN(TRIM(DJ61))=0</formula>
    </cfRule>
  </conditionalFormatting>
  <conditionalFormatting sqref="DJ62:EC62">
    <cfRule type="cellIs" dxfId="620" priority="30" operator="greaterThanOrEqual">
      <formula>120</formula>
    </cfRule>
    <cfRule type="cellIs" dxfId="619" priority="31" operator="lessThan">
      <formula>120</formula>
    </cfRule>
  </conditionalFormatting>
  <conditionalFormatting sqref="CB61 BG61:BY61">
    <cfRule type="containsBlanks" dxfId="618" priority="29">
      <formula>LEN(TRIM(BG61))=0</formula>
    </cfRule>
  </conditionalFormatting>
  <conditionalFormatting sqref="BZ61:CA61">
    <cfRule type="containsBlanks" dxfId="617" priority="28">
      <formula>LEN(TRIM(BZ61))=0</formula>
    </cfRule>
  </conditionalFormatting>
  <conditionalFormatting sqref="CK61:CM61 CC61:CI61">
    <cfRule type="containsBlanks" dxfId="616" priority="27">
      <formula>LEN(TRIM(CC61))=0</formula>
    </cfRule>
  </conditionalFormatting>
  <conditionalFormatting sqref="CJ61">
    <cfRule type="containsBlanks" dxfId="615" priority="26">
      <formula>LEN(TRIM(CJ61))=0</formula>
    </cfRule>
  </conditionalFormatting>
  <conditionalFormatting sqref="CN61:DE61">
    <cfRule type="containsBlanks" dxfId="614" priority="25">
      <formula>LEN(TRIM(CN61))=0</formula>
    </cfRule>
  </conditionalFormatting>
  <conditionalFormatting sqref="CN62:DE62">
    <cfRule type="cellIs" dxfId="613" priority="23" operator="greaterThanOrEqual">
      <formula>120</formula>
    </cfRule>
    <cfRule type="cellIs" dxfId="612" priority="24" operator="lessThan">
      <formula>120</formula>
    </cfRule>
  </conditionalFormatting>
  <conditionalFormatting sqref="F9:F20">
    <cfRule type="cellIs" dxfId="611" priority="22" operator="lessThan">
      <formula>0</formula>
    </cfRule>
  </conditionalFormatting>
  <conditionalFormatting sqref="F30:F41">
    <cfRule type="cellIs" dxfId="610" priority="21" operator="lessThan">
      <formula>0</formula>
    </cfRule>
  </conditionalFormatting>
  <conditionalFormatting sqref="F51:F64">
    <cfRule type="cellIs" dxfId="609" priority="20" operator="lessThan">
      <formula>0</formula>
    </cfRule>
  </conditionalFormatting>
  <conditionalFormatting sqref="F74:F77 F80:F83">
    <cfRule type="cellIs" dxfId="608" priority="19" operator="lessThan">
      <formula>0</formula>
    </cfRule>
  </conditionalFormatting>
  <conditionalFormatting sqref="H78:N78 AC78 P78:T78">
    <cfRule type="containsBlanks" dxfId="607" priority="18">
      <formula>LEN(TRIM(H78))=0</formula>
    </cfRule>
  </conditionalFormatting>
  <conditionalFormatting sqref="V78:AB78">
    <cfRule type="containsBlanks" dxfId="606" priority="17">
      <formula>LEN(TRIM(V78))=0</formula>
    </cfRule>
  </conditionalFormatting>
  <conditionalFormatting sqref="U78">
    <cfRule type="containsBlanks" dxfId="605" priority="16">
      <formula>LEN(TRIM(U78))=0</formula>
    </cfRule>
  </conditionalFormatting>
  <conditionalFormatting sqref="O78">
    <cfRule type="containsBlanks" dxfId="604" priority="15">
      <formula>LEN(TRIM(O78))=0</formula>
    </cfRule>
  </conditionalFormatting>
  <conditionalFormatting sqref="AD78:AJ78 DF78:DI78 AL78:BY78">
    <cfRule type="containsBlanks" dxfId="603" priority="14">
      <formula>LEN(TRIM(AD78))=0</formula>
    </cfRule>
  </conditionalFormatting>
  <conditionalFormatting sqref="AK78">
    <cfRule type="containsBlanks" dxfId="602" priority="13">
      <formula>LEN(TRIM(AK78))=0</formula>
    </cfRule>
  </conditionalFormatting>
  <conditionalFormatting sqref="DF79:DI79 AO79:BY79">
    <cfRule type="cellIs" dxfId="601" priority="11" operator="greaterThanOrEqual">
      <formula>120</formula>
    </cfRule>
    <cfRule type="cellIs" dxfId="600" priority="12" operator="lessThan">
      <formula>120</formula>
    </cfRule>
  </conditionalFormatting>
  <conditionalFormatting sqref="DJ78:EC78">
    <cfRule type="containsBlanks" dxfId="599" priority="10">
      <formula>LEN(TRIM(DJ78))=0</formula>
    </cfRule>
  </conditionalFormatting>
  <conditionalFormatting sqref="DJ79:EC79">
    <cfRule type="cellIs" dxfId="598" priority="8" operator="greaterThanOrEqual">
      <formula>120</formula>
    </cfRule>
    <cfRule type="cellIs" dxfId="597" priority="9" operator="lessThan">
      <formula>120</formula>
    </cfRule>
  </conditionalFormatting>
  <conditionalFormatting sqref="CB78">
    <cfRule type="containsBlanks" dxfId="596" priority="7">
      <formula>LEN(TRIM(CB78))=0</formula>
    </cfRule>
  </conditionalFormatting>
  <conditionalFormatting sqref="BZ78:CA78">
    <cfRule type="containsBlanks" dxfId="595" priority="6">
      <formula>LEN(TRIM(BZ78))=0</formula>
    </cfRule>
  </conditionalFormatting>
  <conditionalFormatting sqref="CC78:CI78 CK78:DE78">
    <cfRule type="containsBlanks" dxfId="594" priority="5">
      <formula>LEN(TRIM(CC78))=0</formula>
    </cfRule>
  </conditionalFormatting>
  <conditionalFormatting sqref="CJ78">
    <cfRule type="containsBlanks" dxfId="593" priority="4">
      <formula>LEN(TRIM(CJ78))=0</formula>
    </cfRule>
  </conditionalFormatting>
  <conditionalFormatting sqref="CN79:DE79">
    <cfRule type="cellIs" dxfId="592" priority="2" operator="greaterThanOrEqual">
      <formula>120</formula>
    </cfRule>
    <cfRule type="cellIs" dxfId="591" priority="3" operator="lessThan">
      <formula>120</formula>
    </cfRule>
  </conditionalFormatting>
  <conditionalFormatting sqref="F78:F79">
    <cfRule type="cellIs" dxfId="590" priority="1" operator="lessThan">
      <formula>0</formula>
    </cfRule>
  </conditionalFormatting>
  <printOptions horizontalCentered="1" verticalCentered="1"/>
  <pageMargins left="0.2" right="0" top="0" bottom="0" header="0" footer="0"/>
  <pageSetup paperSize="9" scale="64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G409"/>
  <sheetViews>
    <sheetView topLeftCell="A55" zoomScaleNormal="100" workbookViewId="0">
      <selection activeCell="C66" sqref="C66"/>
    </sheetView>
  </sheetViews>
  <sheetFormatPr defaultColWidth="12.5703125" defaultRowHeight="15.75" customHeight="1" x14ac:dyDescent="0.2"/>
  <cols>
    <col min="1" max="1" width="2.42578125" style="178" customWidth="1"/>
    <col min="2" max="4" width="12.5703125" style="178"/>
    <col min="5" max="5" width="30.28515625" style="178" customWidth="1"/>
    <col min="6" max="21" width="12.5703125" style="178"/>
    <col min="22" max="22" width="2.28515625" style="178" customWidth="1"/>
    <col min="23" max="16384" width="12.5703125" style="178"/>
  </cols>
  <sheetData>
    <row r="1" spans="1:33" ht="12.75" x14ac:dyDescent="0.2">
      <c r="A1" s="177"/>
      <c r="B1" s="177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</row>
    <row r="2" spans="1:33" ht="12.75" x14ac:dyDescent="0.2">
      <c r="A2" s="177" t="s">
        <v>93</v>
      </c>
      <c r="B2" s="177" t="s">
        <v>94</v>
      </c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</row>
    <row r="3" spans="1:33" ht="9" customHeight="1" thickBot="1" x14ac:dyDescent="0.25">
      <c r="A3" s="184"/>
      <c r="B3" s="184"/>
      <c r="C3" s="184"/>
      <c r="D3" s="184"/>
      <c r="E3" s="184"/>
      <c r="F3" s="184"/>
      <c r="G3" s="184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4"/>
    </row>
    <row r="4" spans="1:33" ht="13.5" thickTop="1" x14ac:dyDescent="0.2">
      <c r="A4" s="219"/>
      <c r="B4" s="186" t="s">
        <v>95</v>
      </c>
      <c r="C4" s="187" t="s">
        <v>30</v>
      </c>
      <c r="D4" s="187" t="s">
        <v>96</v>
      </c>
      <c r="E4" s="187" t="s">
        <v>97</v>
      </c>
      <c r="F4" s="187" t="s">
        <v>98</v>
      </c>
      <c r="G4" s="187"/>
      <c r="H4" s="187" t="s">
        <v>99</v>
      </c>
      <c r="I4" s="187" t="s">
        <v>100</v>
      </c>
      <c r="J4" s="187" t="s">
        <v>79</v>
      </c>
      <c r="K4" s="187" t="s">
        <v>80</v>
      </c>
      <c r="L4" s="187" t="s">
        <v>101</v>
      </c>
      <c r="M4" s="188" t="s">
        <v>102</v>
      </c>
      <c r="N4" s="188" t="s">
        <v>103</v>
      </c>
      <c r="O4" s="188" t="s">
        <v>104</v>
      </c>
      <c r="P4" s="188" t="s">
        <v>105</v>
      </c>
      <c r="Q4" s="188" t="s">
        <v>106</v>
      </c>
      <c r="R4" s="188" t="s">
        <v>107</v>
      </c>
      <c r="S4" s="188" t="s">
        <v>108</v>
      </c>
      <c r="T4" s="188" t="s">
        <v>109</v>
      </c>
      <c r="U4" s="189" t="s">
        <v>110</v>
      </c>
      <c r="V4" s="185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</row>
    <row r="5" spans="1:33" ht="12.75" x14ac:dyDescent="0.2">
      <c r="A5" s="220"/>
      <c r="B5" s="275">
        <v>46129</v>
      </c>
      <c r="C5" s="278">
        <v>3</v>
      </c>
      <c r="D5" s="278" t="s">
        <v>111</v>
      </c>
      <c r="E5" s="190" t="s">
        <v>112</v>
      </c>
      <c r="F5" s="191"/>
      <c r="G5" s="191"/>
      <c r="H5" s="191" t="s">
        <v>113</v>
      </c>
      <c r="I5" s="192"/>
      <c r="J5" s="192">
        <v>2</v>
      </c>
      <c r="K5" s="192">
        <v>2</v>
      </c>
      <c r="L5" s="191">
        <v>120</v>
      </c>
      <c r="M5" s="193"/>
      <c r="N5" s="193"/>
      <c r="O5" s="193"/>
      <c r="P5" s="193"/>
      <c r="Q5" s="193"/>
      <c r="R5" s="193"/>
      <c r="S5" s="193"/>
      <c r="T5" s="193"/>
      <c r="U5" s="194">
        <f>SUM(M5:T5)</f>
        <v>0</v>
      </c>
      <c r="V5" s="184"/>
    </row>
    <row r="6" spans="1:33" ht="12.75" x14ac:dyDescent="0.2">
      <c r="A6" s="220"/>
      <c r="B6" s="276"/>
      <c r="C6" s="279"/>
      <c r="D6" s="279"/>
      <c r="E6" s="195" t="s">
        <v>110</v>
      </c>
      <c r="F6" s="196"/>
      <c r="G6" s="196"/>
      <c r="H6" s="196"/>
      <c r="I6" s="196"/>
      <c r="J6" s="196"/>
      <c r="K6" s="196"/>
      <c r="L6" s="196">
        <f t="shared" ref="L6:U6" si="0">SUM(L5)</f>
        <v>120</v>
      </c>
      <c r="M6" s="197">
        <f t="shared" si="0"/>
        <v>0</v>
      </c>
      <c r="N6" s="197">
        <f t="shared" si="0"/>
        <v>0</v>
      </c>
      <c r="O6" s="197">
        <f t="shared" si="0"/>
        <v>0</v>
      </c>
      <c r="P6" s="197">
        <f t="shared" si="0"/>
        <v>0</v>
      </c>
      <c r="Q6" s="197">
        <f t="shared" si="0"/>
        <v>0</v>
      </c>
      <c r="R6" s="197">
        <f t="shared" si="0"/>
        <v>0</v>
      </c>
      <c r="S6" s="197">
        <f t="shared" si="0"/>
        <v>0</v>
      </c>
      <c r="T6" s="197">
        <f t="shared" si="0"/>
        <v>0</v>
      </c>
      <c r="U6" s="198">
        <f t="shared" si="0"/>
        <v>0</v>
      </c>
      <c r="V6" s="184"/>
    </row>
    <row r="7" spans="1:33" ht="12.75" x14ac:dyDescent="0.2">
      <c r="A7" s="220"/>
      <c r="B7" s="276"/>
      <c r="C7" s="279"/>
      <c r="D7" s="279"/>
      <c r="E7" s="190" t="s">
        <v>114</v>
      </c>
      <c r="F7" s="191"/>
      <c r="G7" s="191"/>
      <c r="H7" s="191" t="s">
        <v>115</v>
      </c>
      <c r="I7" s="192"/>
      <c r="J7" s="278">
        <v>6</v>
      </c>
      <c r="K7" s="293">
        <v>4</v>
      </c>
      <c r="L7" s="191">
        <v>40</v>
      </c>
      <c r="M7" s="193"/>
      <c r="N7" s="193"/>
      <c r="O7" s="193"/>
      <c r="P7" s="193"/>
      <c r="Q7" s="193"/>
      <c r="R7" s="193"/>
      <c r="S7" s="193"/>
      <c r="T7" s="193"/>
      <c r="U7" s="194">
        <f>SUM(M7:T7)</f>
        <v>0</v>
      </c>
      <c r="V7" s="184"/>
    </row>
    <row r="8" spans="1:33" ht="12.75" x14ac:dyDescent="0.2">
      <c r="A8" s="220"/>
      <c r="B8" s="276"/>
      <c r="C8" s="279"/>
      <c r="D8" s="279"/>
      <c r="E8" s="190" t="s">
        <v>114</v>
      </c>
      <c r="F8" s="191"/>
      <c r="G8" s="191"/>
      <c r="H8" s="191" t="s">
        <v>115</v>
      </c>
      <c r="I8" s="192"/>
      <c r="J8" s="279"/>
      <c r="K8" s="294"/>
      <c r="L8" s="191">
        <v>40</v>
      </c>
      <c r="M8" s="193"/>
      <c r="N8" s="193"/>
      <c r="O8" s="193"/>
      <c r="P8" s="193"/>
      <c r="Q8" s="193"/>
      <c r="R8" s="193"/>
      <c r="S8" s="193"/>
      <c r="T8" s="193"/>
      <c r="U8" s="194">
        <f>SUM(M8:T8)</f>
        <v>0</v>
      </c>
      <c r="V8" s="184"/>
    </row>
    <row r="9" spans="1:33" ht="12.75" x14ac:dyDescent="0.2">
      <c r="A9" s="220"/>
      <c r="B9" s="276"/>
      <c r="C9" s="279"/>
      <c r="D9" s="279"/>
      <c r="E9" s="190" t="s">
        <v>114</v>
      </c>
      <c r="F9" s="191"/>
      <c r="G9" s="191"/>
      <c r="H9" s="191" t="s">
        <v>115</v>
      </c>
      <c r="I9" s="192"/>
      <c r="J9" s="281"/>
      <c r="K9" s="295"/>
      <c r="L9" s="191">
        <v>40</v>
      </c>
      <c r="M9" s="193"/>
      <c r="N9" s="193"/>
      <c r="O9" s="193"/>
      <c r="P9" s="193"/>
      <c r="Q9" s="193"/>
      <c r="R9" s="193"/>
      <c r="S9" s="193"/>
      <c r="T9" s="193"/>
      <c r="U9" s="194">
        <f>SUM(M9:T9)</f>
        <v>0</v>
      </c>
      <c r="V9" s="184"/>
    </row>
    <row r="10" spans="1:33" ht="12.75" x14ac:dyDescent="0.2">
      <c r="A10" s="220"/>
      <c r="B10" s="276"/>
      <c r="C10" s="279"/>
      <c r="D10" s="279"/>
      <c r="E10" s="195" t="s">
        <v>110</v>
      </c>
      <c r="F10" s="196"/>
      <c r="G10" s="196"/>
      <c r="H10" s="196"/>
      <c r="I10" s="196"/>
      <c r="J10" s="196"/>
      <c r="K10" s="196"/>
      <c r="L10" s="196">
        <f t="shared" ref="L10:U10" si="1">SUM(L7:L9)</f>
        <v>120</v>
      </c>
      <c r="M10" s="197">
        <f t="shared" si="1"/>
        <v>0</v>
      </c>
      <c r="N10" s="197">
        <f t="shared" si="1"/>
        <v>0</v>
      </c>
      <c r="O10" s="197">
        <f t="shared" si="1"/>
        <v>0</v>
      </c>
      <c r="P10" s="197">
        <f t="shared" si="1"/>
        <v>0</v>
      </c>
      <c r="Q10" s="197">
        <f t="shared" si="1"/>
        <v>0</v>
      </c>
      <c r="R10" s="197">
        <f t="shared" si="1"/>
        <v>0</v>
      </c>
      <c r="S10" s="197">
        <f t="shared" si="1"/>
        <v>0</v>
      </c>
      <c r="T10" s="197">
        <f t="shared" si="1"/>
        <v>0</v>
      </c>
      <c r="U10" s="198">
        <f t="shared" si="1"/>
        <v>0</v>
      </c>
      <c r="V10" s="184"/>
    </row>
    <row r="11" spans="1:33" ht="12.75" x14ac:dyDescent="0.2">
      <c r="A11" s="220"/>
      <c r="B11" s="276"/>
      <c r="C11" s="279"/>
      <c r="D11" s="279"/>
      <c r="E11" s="190" t="s">
        <v>116</v>
      </c>
      <c r="F11" s="191"/>
      <c r="G11" s="191"/>
      <c r="H11" s="191" t="s">
        <v>115</v>
      </c>
      <c r="I11" s="192"/>
      <c r="J11" s="278">
        <v>6</v>
      </c>
      <c r="K11" s="299">
        <v>5</v>
      </c>
      <c r="L11" s="191">
        <v>40</v>
      </c>
      <c r="M11" s="193"/>
      <c r="N11" s="193"/>
      <c r="O11" s="193"/>
      <c r="P11" s="193"/>
      <c r="Q11" s="193"/>
      <c r="R11" s="193"/>
      <c r="S11" s="193"/>
      <c r="T11" s="193"/>
      <c r="U11" s="194">
        <f>SUM(M11:T11)</f>
        <v>0</v>
      </c>
      <c r="V11" s="184"/>
    </row>
    <row r="12" spans="1:33" ht="12.75" x14ac:dyDescent="0.2">
      <c r="A12" s="220"/>
      <c r="B12" s="276"/>
      <c r="C12" s="279"/>
      <c r="D12" s="279"/>
      <c r="E12" s="190" t="s">
        <v>116</v>
      </c>
      <c r="F12" s="191"/>
      <c r="G12" s="191"/>
      <c r="H12" s="191" t="s">
        <v>115</v>
      </c>
      <c r="I12" s="192"/>
      <c r="J12" s="279"/>
      <c r="K12" s="294"/>
      <c r="L12" s="191">
        <v>40</v>
      </c>
      <c r="M12" s="193"/>
      <c r="N12" s="193"/>
      <c r="O12" s="193"/>
      <c r="P12" s="193"/>
      <c r="Q12" s="193"/>
      <c r="R12" s="193"/>
      <c r="S12" s="193"/>
      <c r="T12" s="193"/>
      <c r="U12" s="194">
        <f>SUM(M12:T12)</f>
        <v>0</v>
      </c>
      <c r="V12" s="184"/>
    </row>
    <row r="13" spans="1:33" ht="12.75" x14ac:dyDescent="0.2">
      <c r="A13" s="220"/>
      <c r="B13" s="276"/>
      <c r="C13" s="279"/>
      <c r="D13" s="279"/>
      <c r="E13" s="190" t="s">
        <v>116</v>
      </c>
      <c r="F13" s="191"/>
      <c r="G13" s="191"/>
      <c r="H13" s="191" t="s">
        <v>115</v>
      </c>
      <c r="I13" s="192"/>
      <c r="J13" s="281"/>
      <c r="K13" s="295"/>
      <c r="L13" s="191">
        <v>40</v>
      </c>
      <c r="M13" s="193"/>
      <c r="N13" s="193"/>
      <c r="O13" s="193"/>
      <c r="P13" s="193"/>
      <c r="Q13" s="193"/>
      <c r="R13" s="193"/>
      <c r="S13" s="193"/>
      <c r="T13" s="193"/>
      <c r="U13" s="194">
        <f>SUM(M13:T13)</f>
        <v>0</v>
      </c>
      <c r="V13" s="184"/>
    </row>
    <row r="14" spans="1:33" ht="12.75" x14ac:dyDescent="0.2">
      <c r="A14" s="220"/>
      <c r="B14" s="276"/>
      <c r="C14" s="279"/>
      <c r="D14" s="279"/>
      <c r="E14" s="195" t="s">
        <v>110</v>
      </c>
      <c r="F14" s="196"/>
      <c r="G14" s="196"/>
      <c r="H14" s="196"/>
      <c r="I14" s="196"/>
      <c r="J14" s="196"/>
      <c r="K14" s="196"/>
      <c r="L14" s="196">
        <f t="shared" ref="L14:U14" si="2">SUM(L11:L13)</f>
        <v>120</v>
      </c>
      <c r="M14" s="197">
        <f t="shared" si="2"/>
        <v>0</v>
      </c>
      <c r="N14" s="197">
        <f t="shared" si="2"/>
        <v>0</v>
      </c>
      <c r="O14" s="197">
        <f t="shared" si="2"/>
        <v>0</v>
      </c>
      <c r="P14" s="197">
        <f t="shared" si="2"/>
        <v>0</v>
      </c>
      <c r="Q14" s="197">
        <f t="shared" si="2"/>
        <v>0</v>
      </c>
      <c r="R14" s="197">
        <f t="shared" si="2"/>
        <v>0</v>
      </c>
      <c r="S14" s="197">
        <f t="shared" si="2"/>
        <v>0</v>
      </c>
      <c r="T14" s="197">
        <f t="shared" si="2"/>
        <v>0</v>
      </c>
      <c r="U14" s="198">
        <f t="shared" si="2"/>
        <v>0</v>
      </c>
      <c r="V14" s="184"/>
    </row>
    <row r="15" spans="1:33" ht="12.75" x14ac:dyDescent="0.2">
      <c r="A15" s="220"/>
      <c r="B15" s="276"/>
      <c r="C15" s="279"/>
      <c r="D15" s="279"/>
      <c r="E15" s="190" t="s">
        <v>117</v>
      </c>
      <c r="F15" s="191"/>
      <c r="G15" s="191"/>
      <c r="H15" s="191" t="s">
        <v>115</v>
      </c>
      <c r="I15" s="192"/>
      <c r="J15" s="278">
        <v>8</v>
      </c>
      <c r="K15" s="278">
        <v>8</v>
      </c>
      <c r="L15" s="191">
        <v>30</v>
      </c>
      <c r="M15" s="193"/>
      <c r="N15" s="193"/>
      <c r="O15" s="193"/>
      <c r="P15" s="193"/>
      <c r="Q15" s="193"/>
      <c r="R15" s="193"/>
      <c r="S15" s="193"/>
      <c r="T15" s="193"/>
      <c r="U15" s="194">
        <f>SUM(M15:T15)</f>
        <v>0</v>
      </c>
      <c r="V15" s="184"/>
    </row>
    <row r="16" spans="1:33" ht="12.75" x14ac:dyDescent="0.2">
      <c r="A16" s="220"/>
      <c r="B16" s="276"/>
      <c r="C16" s="279"/>
      <c r="D16" s="279"/>
      <c r="E16" s="190" t="s">
        <v>117</v>
      </c>
      <c r="F16" s="191"/>
      <c r="G16" s="191"/>
      <c r="H16" s="191" t="s">
        <v>115</v>
      </c>
      <c r="I16" s="192"/>
      <c r="J16" s="279"/>
      <c r="K16" s="279"/>
      <c r="L16" s="191">
        <v>30</v>
      </c>
      <c r="M16" s="193"/>
      <c r="N16" s="193"/>
      <c r="O16" s="193"/>
      <c r="P16" s="193"/>
      <c r="Q16" s="193"/>
      <c r="R16" s="193"/>
      <c r="S16" s="193"/>
      <c r="T16" s="193"/>
      <c r="U16" s="194">
        <f>SUM(M16:T16)</f>
        <v>0</v>
      </c>
      <c r="V16" s="184"/>
    </row>
    <row r="17" spans="1:22" ht="12.75" x14ac:dyDescent="0.2">
      <c r="A17" s="220"/>
      <c r="B17" s="276"/>
      <c r="C17" s="279"/>
      <c r="D17" s="279"/>
      <c r="E17" s="190" t="s">
        <v>117</v>
      </c>
      <c r="F17" s="191"/>
      <c r="G17" s="191"/>
      <c r="H17" s="191" t="s">
        <v>115</v>
      </c>
      <c r="I17" s="192"/>
      <c r="J17" s="279"/>
      <c r="K17" s="279"/>
      <c r="L17" s="191">
        <v>30</v>
      </c>
      <c r="M17" s="193"/>
      <c r="N17" s="193"/>
      <c r="O17" s="193"/>
      <c r="P17" s="193"/>
      <c r="Q17" s="193"/>
      <c r="R17" s="193"/>
      <c r="S17" s="193"/>
      <c r="T17" s="193"/>
      <c r="U17" s="194">
        <f>SUM(M17:T17)</f>
        <v>0</v>
      </c>
      <c r="V17" s="184"/>
    </row>
    <row r="18" spans="1:22" ht="12.75" x14ac:dyDescent="0.2">
      <c r="A18" s="220"/>
      <c r="B18" s="276"/>
      <c r="C18" s="279"/>
      <c r="D18" s="279"/>
      <c r="E18" s="190" t="s">
        <v>117</v>
      </c>
      <c r="F18" s="191"/>
      <c r="G18" s="191"/>
      <c r="H18" s="191" t="s">
        <v>115</v>
      </c>
      <c r="I18" s="192"/>
      <c r="J18" s="281"/>
      <c r="K18" s="281"/>
      <c r="L18" s="191">
        <v>30</v>
      </c>
      <c r="M18" s="193"/>
      <c r="N18" s="193"/>
      <c r="O18" s="193"/>
      <c r="P18" s="193"/>
      <c r="Q18" s="193"/>
      <c r="R18" s="193"/>
      <c r="S18" s="193"/>
      <c r="T18" s="193"/>
      <c r="U18" s="194">
        <f>SUM(M18:T18)</f>
        <v>0</v>
      </c>
      <c r="V18" s="184"/>
    </row>
    <row r="19" spans="1:22" ht="12.75" x14ac:dyDescent="0.2">
      <c r="A19" s="220"/>
      <c r="B19" s="276"/>
      <c r="C19" s="279"/>
      <c r="D19" s="279"/>
      <c r="E19" s="195" t="s">
        <v>110</v>
      </c>
      <c r="F19" s="199"/>
      <c r="G19" s="199"/>
      <c r="H19" s="196"/>
      <c r="I19" s="196"/>
      <c r="J19" s="196"/>
      <c r="K19" s="196"/>
      <c r="L19" s="196">
        <f t="shared" ref="L19:U19" si="3">SUM(L15:L18)</f>
        <v>120</v>
      </c>
      <c r="M19" s="197">
        <f t="shared" si="3"/>
        <v>0</v>
      </c>
      <c r="N19" s="197">
        <f t="shared" si="3"/>
        <v>0</v>
      </c>
      <c r="O19" s="197">
        <f t="shared" si="3"/>
        <v>0</v>
      </c>
      <c r="P19" s="197">
        <f t="shared" si="3"/>
        <v>0</v>
      </c>
      <c r="Q19" s="197">
        <f t="shared" si="3"/>
        <v>0</v>
      </c>
      <c r="R19" s="197">
        <f t="shared" si="3"/>
        <v>0</v>
      </c>
      <c r="S19" s="197">
        <f t="shared" si="3"/>
        <v>0</v>
      </c>
      <c r="T19" s="197">
        <f t="shared" si="3"/>
        <v>0</v>
      </c>
      <c r="U19" s="198">
        <f t="shared" si="3"/>
        <v>0</v>
      </c>
      <c r="V19" s="184"/>
    </row>
    <row r="20" spans="1:22" ht="12.75" x14ac:dyDescent="0.2">
      <c r="A20" s="220"/>
      <c r="B20" s="276"/>
      <c r="C20" s="279"/>
      <c r="D20" s="279"/>
      <c r="E20" s="283" t="s">
        <v>118</v>
      </c>
      <c r="F20" s="284"/>
      <c r="G20" s="284"/>
      <c r="H20" s="285"/>
      <c r="I20" s="192"/>
      <c r="J20" s="278">
        <v>8</v>
      </c>
      <c r="K20" s="289">
        <v>0</v>
      </c>
      <c r="L20" s="191"/>
      <c r="M20" s="191"/>
      <c r="N20" s="191"/>
      <c r="O20" s="191"/>
      <c r="P20" s="191"/>
      <c r="Q20" s="191"/>
      <c r="R20" s="191"/>
      <c r="S20" s="191"/>
      <c r="T20" s="191"/>
      <c r="U20" s="200"/>
      <c r="V20" s="184"/>
    </row>
    <row r="21" spans="1:22" ht="13.5" thickBot="1" x14ac:dyDescent="0.25">
      <c r="A21" s="220"/>
      <c r="B21" s="277"/>
      <c r="C21" s="280"/>
      <c r="D21" s="280"/>
      <c r="E21" s="286"/>
      <c r="F21" s="287"/>
      <c r="G21" s="287"/>
      <c r="H21" s="288"/>
      <c r="I21" s="201"/>
      <c r="J21" s="280"/>
      <c r="K21" s="280"/>
      <c r="L21" s="202"/>
      <c r="M21" s="202"/>
      <c r="N21" s="202"/>
      <c r="O21" s="202"/>
      <c r="P21" s="202"/>
      <c r="Q21" s="202"/>
      <c r="R21" s="202"/>
      <c r="S21" s="202"/>
      <c r="T21" s="202"/>
      <c r="U21" s="203"/>
      <c r="V21" s="184"/>
    </row>
    <row r="22" spans="1:22" ht="14.25" thickTop="1" thickBot="1" x14ac:dyDescent="0.25">
      <c r="A22" s="221"/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204"/>
      <c r="N22" s="184"/>
      <c r="O22" s="184"/>
      <c r="P22" s="184"/>
      <c r="Q22" s="184"/>
      <c r="R22" s="184"/>
      <c r="S22" s="184"/>
      <c r="T22" s="184"/>
      <c r="U22" s="185"/>
      <c r="V22" s="184"/>
    </row>
    <row r="23" spans="1:22" ht="14.25" thickTop="1" thickBot="1" x14ac:dyDescent="0.25">
      <c r="A23" s="221"/>
      <c r="B23" s="184"/>
      <c r="C23" s="184"/>
      <c r="D23" s="184"/>
      <c r="E23" s="266" t="s">
        <v>119</v>
      </c>
      <c r="F23" s="267"/>
      <c r="G23" s="267"/>
      <c r="H23" s="267"/>
      <c r="I23" s="267"/>
      <c r="J23" s="267"/>
      <c r="K23" s="267"/>
      <c r="L23" s="267"/>
      <c r="M23" s="267"/>
      <c r="N23" s="267"/>
      <c r="O23" s="267"/>
      <c r="P23" s="267"/>
      <c r="Q23" s="267"/>
      <c r="R23" s="267"/>
      <c r="S23" s="267"/>
      <c r="T23" s="268"/>
      <c r="U23" s="185"/>
      <c r="V23" s="184"/>
    </row>
    <row r="24" spans="1:22" ht="16.5" customHeight="1" thickTop="1" thickBot="1" x14ac:dyDescent="0.25">
      <c r="A24" s="221"/>
      <c r="B24" s="184"/>
      <c r="C24" s="184"/>
      <c r="D24" s="184"/>
      <c r="E24" s="271" t="s">
        <v>38</v>
      </c>
      <c r="F24" s="205" t="s">
        <v>120</v>
      </c>
      <c r="G24" s="296"/>
      <c r="H24" s="297"/>
      <c r="I24" s="297"/>
      <c r="J24" s="297"/>
      <c r="K24" s="297"/>
      <c r="L24" s="297"/>
      <c r="M24" s="297"/>
      <c r="N24" s="297"/>
      <c r="O24" s="297"/>
      <c r="P24" s="297"/>
      <c r="Q24" s="297"/>
      <c r="R24" s="297"/>
      <c r="S24" s="297"/>
      <c r="T24" s="298"/>
      <c r="U24" s="185"/>
      <c r="V24" s="184"/>
    </row>
    <row r="25" spans="1:22" ht="16.5" customHeight="1" thickTop="1" thickBot="1" x14ac:dyDescent="0.25">
      <c r="A25" s="221"/>
      <c r="B25" s="184"/>
      <c r="C25" s="184"/>
      <c r="D25" s="184"/>
      <c r="E25" s="272"/>
      <c r="F25" s="205" t="s">
        <v>121</v>
      </c>
      <c r="G25" s="296"/>
      <c r="H25" s="297"/>
      <c r="I25" s="297"/>
      <c r="J25" s="297"/>
      <c r="K25" s="297"/>
      <c r="L25" s="297"/>
      <c r="M25" s="297"/>
      <c r="N25" s="297"/>
      <c r="O25" s="297"/>
      <c r="P25" s="297"/>
      <c r="Q25" s="297"/>
      <c r="R25" s="297"/>
      <c r="S25" s="297"/>
      <c r="T25" s="298"/>
      <c r="U25" s="185"/>
      <c r="V25" s="184"/>
    </row>
    <row r="26" spans="1:22" ht="16.5" customHeight="1" thickTop="1" thickBot="1" x14ac:dyDescent="0.25">
      <c r="A26" s="221"/>
      <c r="B26" s="184"/>
      <c r="C26" s="184"/>
      <c r="D26" s="184"/>
      <c r="E26" s="272"/>
      <c r="F26" s="205" t="s">
        <v>122</v>
      </c>
      <c r="G26" s="296"/>
      <c r="H26" s="297"/>
      <c r="I26" s="297"/>
      <c r="J26" s="297"/>
      <c r="K26" s="297"/>
      <c r="L26" s="297"/>
      <c r="M26" s="297"/>
      <c r="N26" s="297"/>
      <c r="O26" s="297"/>
      <c r="P26" s="297"/>
      <c r="Q26" s="297"/>
      <c r="R26" s="297"/>
      <c r="S26" s="297"/>
      <c r="T26" s="298"/>
      <c r="U26" s="185"/>
      <c r="V26" s="184"/>
    </row>
    <row r="27" spans="1:22" ht="16.5" customHeight="1" thickTop="1" thickBot="1" x14ac:dyDescent="0.25">
      <c r="A27" s="221"/>
      <c r="B27" s="184"/>
      <c r="C27" s="184"/>
      <c r="D27" s="184"/>
      <c r="E27" s="272"/>
      <c r="F27" s="205" t="s">
        <v>123</v>
      </c>
      <c r="G27" s="296"/>
      <c r="H27" s="297"/>
      <c r="I27" s="297"/>
      <c r="J27" s="297"/>
      <c r="K27" s="297"/>
      <c r="L27" s="297"/>
      <c r="M27" s="297"/>
      <c r="N27" s="297"/>
      <c r="O27" s="297"/>
      <c r="P27" s="297"/>
      <c r="Q27" s="297"/>
      <c r="R27" s="297"/>
      <c r="S27" s="297"/>
      <c r="T27" s="298"/>
      <c r="U27" s="185"/>
      <c r="V27" s="184"/>
    </row>
    <row r="28" spans="1:22" ht="16.5" customHeight="1" thickTop="1" thickBot="1" x14ac:dyDescent="0.25">
      <c r="A28" s="221"/>
      <c r="B28" s="184"/>
      <c r="C28" s="184"/>
      <c r="D28" s="184"/>
      <c r="E28" s="272"/>
      <c r="F28" s="205" t="s">
        <v>124</v>
      </c>
      <c r="G28" s="296"/>
      <c r="H28" s="297"/>
      <c r="I28" s="297"/>
      <c r="J28" s="297"/>
      <c r="K28" s="297"/>
      <c r="L28" s="297"/>
      <c r="M28" s="297"/>
      <c r="N28" s="297"/>
      <c r="O28" s="297"/>
      <c r="P28" s="297"/>
      <c r="Q28" s="297"/>
      <c r="R28" s="297"/>
      <c r="S28" s="297"/>
      <c r="T28" s="298"/>
      <c r="U28" s="185"/>
      <c r="V28" s="184"/>
    </row>
    <row r="29" spans="1:22" ht="16.5" customHeight="1" thickTop="1" thickBot="1" x14ac:dyDescent="0.25">
      <c r="A29" s="221"/>
      <c r="B29" s="184"/>
      <c r="C29" s="184"/>
      <c r="D29" s="184"/>
      <c r="E29" s="272"/>
      <c r="F29" s="206" t="s">
        <v>125</v>
      </c>
      <c r="G29" s="296"/>
      <c r="H29" s="297"/>
      <c r="I29" s="297"/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98"/>
      <c r="U29" s="185"/>
      <c r="V29" s="184"/>
    </row>
    <row r="30" spans="1:22" ht="16.5" customHeight="1" thickTop="1" thickBot="1" x14ac:dyDescent="0.25">
      <c r="A30" s="221"/>
      <c r="B30" s="184"/>
      <c r="C30" s="184"/>
      <c r="D30" s="184"/>
      <c r="E30" s="273"/>
      <c r="F30" s="205" t="s">
        <v>126</v>
      </c>
      <c r="G30" s="296"/>
      <c r="H30" s="297"/>
      <c r="I30" s="297"/>
      <c r="J30" s="297"/>
      <c r="K30" s="297"/>
      <c r="L30" s="297"/>
      <c r="M30" s="297"/>
      <c r="N30" s="297"/>
      <c r="O30" s="297"/>
      <c r="P30" s="297"/>
      <c r="Q30" s="297"/>
      <c r="R30" s="297"/>
      <c r="S30" s="297"/>
      <c r="T30" s="298"/>
      <c r="U30" s="185"/>
      <c r="V30" s="184"/>
    </row>
    <row r="31" spans="1:22" ht="16.5" customHeight="1" thickTop="1" thickBot="1" x14ac:dyDescent="0.25">
      <c r="A31" s="221"/>
      <c r="B31" s="184"/>
      <c r="C31" s="184"/>
      <c r="D31" s="184"/>
      <c r="E31" s="207" t="s">
        <v>127</v>
      </c>
      <c r="F31" s="205" t="s">
        <v>128</v>
      </c>
      <c r="G31" s="296"/>
      <c r="H31" s="297"/>
      <c r="I31" s="297"/>
      <c r="J31" s="297"/>
      <c r="K31" s="297"/>
      <c r="L31" s="297"/>
      <c r="M31" s="297"/>
      <c r="N31" s="297"/>
      <c r="O31" s="297"/>
      <c r="P31" s="297"/>
      <c r="Q31" s="297"/>
      <c r="R31" s="297"/>
      <c r="S31" s="297"/>
      <c r="T31" s="298"/>
      <c r="U31" s="185"/>
      <c r="V31" s="184"/>
    </row>
    <row r="32" spans="1:22" ht="13.5" thickTop="1" x14ac:dyDescent="0.2">
      <c r="A32" s="221"/>
      <c r="B32" s="184"/>
      <c r="C32" s="184"/>
      <c r="D32" s="184"/>
      <c r="E32" s="184"/>
      <c r="F32" s="184"/>
      <c r="G32" s="184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4"/>
    </row>
    <row r="33" spans="1:26" ht="12.75" x14ac:dyDescent="0.2">
      <c r="A33" s="221"/>
      <c r="B33" s="184"/>
      <c r="C33" s="184"/>
      <c r="D33" s="184"/>
      <c r="E33" s="184"/>
      <c r="F33" s="184"/>
      <c r="G33" s="184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4"/>
    </row>
    <row r="34" spans="1:26" ht="13.5" thickBot="1" x14ac:dyDescent="0.25">
      <c r="A34" s="184"/>
      <c r="B34" s="184"/>
      <c r="C34" s="184"/>
      <c r="D34" s="184"/>
      <c r="E34" s="184"/>
      <c r="F34" s="184"/>
      <c r="G34" s="184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4"/>
    </row>
    <row r="35" spans="1:26" ht="13.5" thickTop="1" x14ac:dyDescent="0.2">
      <c r="A35" s="219"/>
      <c r="B35" s="186" t="s">
        <v>95</v>
      </c>
      <c r="C35" s="187" t="s">
        <v>30</v>
      </c>
      <c r="D35" s="187" t="s">
        <v>96</v>
      </c>
      <c r="E35" s="187" t="s">
        <v>97</v>
      </c>
      <c r="F35" s="187" t="s">
        <v>186</v>
      </c>
      <c r="G35" s="223" t="s">
        <v>184</v>
      </c>
      <c r="H35" s="187" t="s">
        <v>99</v>
      </c>
      <c r="I35" s="187" t="s">
        <v>100</v>
      </c>
      <c r="J35" s="187" t="s">
        <v>79</v>
      </c>
      <c r="K35" s="187" t="s">
        <v>80</v>
      </c>
      <c r="L35" s="187" t="s">
        <v>101</v>
      </c>
      <c r="M35" s="208" t="s">
        <v>102</v>
      </c>
      <c r="N35" s="208" t="s">
        <v>103</v>
      </c>
      <c r="O35" s="208" t="s">
        <v>104</v>
      </c>
      <c r="P35" s="208" t="s">
        <v>105</v>
      </c>
      <c r="Q35" s="208" t="s">
        <v>106</v>
      </c>
      <c r="R35" s="208" t="s">
        <v>107</v>
      </c>
      <c r="S35" s="208" t="s">
        <v>108</v>
      </c>
      <c r="T35" s="208" t="s">
        <v>109</v>
      </c>
      <c r="U35" s="189" t="s">
        <v>110</v>
      </c>
      <c r="V35" s="185"/>
    </row>
    <row r="36" spans="1:26" ht="12.75" x14ac:dyDescent="0.2">
      <c r="A36" s="220"/>
      <c r="B36" s="275">
        <v>46129</v>
      </c>
      <c r="C36" s="278">
        <v>4</v>
      </c>
      <c r="D36" s="278" t="s">
        <v>111</v>
      </c>
      <c r="E36" s="190" t="s">
        <v>112</v>
      </c>
      <c r="F36" s="191" t="s">
        <v>129</v>
      </c>
      <c r="G36" s="191" t="s">
        <v>185</v>
      </c>
      <c r="H36" s="191" t="s">
        <v>130</v>
      </c>
      <c r="I36" s="278">
        <v>79.099999999999994</v>
      </c>
      <c r="J36" s="278">
        <v>2</v>
      </c>
      <c r="K36" s="278">
        <v>2</v>
      </c>
      <c r="L36" s="209">
        <v>60</v>
      </c>
      <c r="M36" s="183">
        <v>42</v>
      </c>
      <c r="N36" s="183">
        <v>42</v>
      </c>
      <c r="O36" s="183">
        <v>30</v>
      </c>
      <c r="P36" s="183">
        <v>48</v>
      </c>
      <c r="Q36" s="183">
        <v>24</v>
      </c>
      <c r="R36" s="183">
        <v>6</v>
      </c>
      <c r="S36" s="183">
        <v>30</v>
      </c>
      <c r="T36" s="183">
        <v>12</v>
      </c>
      <c r="U36" s="210">
        <f>SUM(M36:T36)</f>
        <v>234</v>
      </c>
      <c r="V36" s="184"/>
      <c r="X36" s="177" t="s">
        <v>92</v>
      </c>
    </row>
    <row r="37" spans="1:26" ht="12.75" x14ac:dyDescent="0.2">
      <c r="A37" s="220"/>
      <c r="B37" s="276"/>
      <c r="C37" s="279"/>
      <c r="D37" s="279"/>
      <c r="E37" s="190" t="s">
        <v>112</v>
      </c>
      <c r="F37" s="191" t="s">
        <v>131</v>
      </c>
      <c r="G37" s="191" t="s">
        <v>185</v>
      </c>
      <c r="H37" s="191" t="s">
        <v>130</v>
      </c>
      <c r="I37" s="291"/>
      <c r="J37" s="281"/>
      <c r="K37" s="281"/>
      <c r="L37" s="209">
        <v>60</v>
      </c>
      <c r="M37" s="183">
        <v>24</v>
      </c>
      <c r="N37" s="183">
        <v>24</v>
      </c>
      <c r="O37" s="183">
        <v>30</v>
      </c>
      <c r="P37" s="183">
        <v>30</v>
      </c>
      <c r="Q37" s="183">
        <v>18</v>
      </c>
      <c r="R37" s="183">
        <v>6</v>
      </c>
      <c r="S37" s="183">
        <v>24</v>
      </c>
      <c r="T37" s="183">
        <v>12</v>
      </c>
      <c r="U37" s="210">
        <f>SUM(M37:T37)</f>
        <v>168</v>
      </c>
      <c r="V37" s="184"/>
    </row>
    <row r="38" spans="1:26" ht="12.75" x14ac:dyDescent="0.2">
      <c r="A38" s="220"/>
      <c r="B38" s="276"/>
      <c r="C38" s="279"/>
      <c r="D38" s="279"/>
      <c r="E38" s="195" t="s">
        <v>110</v>
      </c>
      <c r="F38" s="196"/>
      <c r="G38" s="196"/>
      <c r="H38" s="196"/>
      <c r="I38" s="196"/>
      <c r="J38" s="196"/>
      <c r="K38" s="196"/>
      <c r="L38" s="211">
        <f t="shared" ref="L38:U38" si="4">SUM(L36:L37)</f>
        <v>120</v>
      </c>
      <c r="M38" s="212">
        <f t="shared" si="4"/>
        <v>66</v>
      </c>
      <c r="N38" s="212">
        <f t="shared" si="4"/>
        <v>66</v>
      </c>
      <c r="O38" s="212">
        <f t="shared" si="4"/>
        <v>60</v>
      </c>
      <c r="P38" s="212">
        <f t="shared" si="4"/>
        <v>78</v>
      </c>
      <c r="Q38" s="212">
        <f t="shared" si="4"/>
        <v>42</v>
      </c>
      <c r="R38" s="212">
        <f t="shared" si="4"/>
        <v>12</v>
      </c>
      <c r="S38" s="212">
        <f t="shared" si="4"/>
        <v>54</v>
      </c>
      <c r="T38" s="212">
        <f t="shared" si="4"/>
        <v>24</v>
      </c>
      <c r="U38" s="213">
        <f t="shared" si="4"/>
        <v>402</v>
      </c>
      <c r="V38" s="184"/>
    </row>
    <row r="39" spans="1:26" ht="12.75" x14ac:dyDescent="0.2">
      <c r="A39" s="220"/>
      <c r="B39" s="276"/>
      <c r="C39" s="279"/>
      <c r="D39" s="279"/>
      <c r="E39" s="190" t="s">
        <v>114</v>
      </c>
      <c r="F39" s="191" t="s">
        <v>132</v>
      </c>
      <c r="G39" s="191" t="s">
        <v>185</v>
      </c>
      <c r="H39" s="191" t="s">
        <v>115</v>
      </c>
      <c r="I39" s="278">
        <v>140.30000000000001</v>
      </c>
      <c r="J39" s="278">
        <v>6</v>
      </c>
      <c r="K39" s="293">
        <v>5</v>
      </c>
      <c r="L39" s="209">
        <v>40</v>
      </c>
      <c r="M39" s="183">
        <v>36</v>
      </c>
      <c r="N39" s="183">
        <v>18</v>
      </c>
      <c r="O39" s="183">
        <v>18</v>
      </c>
      <c r="P39" s="183">
        <v>24</v>
      </c>
      <c r="Q39" s="183">
        <v>24</v>
      </c>
      <c r="R39" s="183">
        <v>24</v>
      </c>
      <c r="S39" s="183">
        <v>25</v>
      </c>
      <c r="T39" s="183">
        <v>13</v>
      </c>
      <c r="U39" s="210">
        <f>SUM(M39:T39)</f>
        <v>182</v>
      </c>
      <c r="V39" s="184"/>
    </row>
    <row r="40" spans="1:26" ht="12.75" x14ac:dyDescent="0.2">
      <c r="A40" s="220"/>
      <c r="B40" s="276"/>
      <c r="C40" s="279"/>
      <c r="D40" s="279"/>
      <c r="E40" s="190" t="s">
        <v>114</v>
      </c>
      <c r="F40" s="191" t="s">
        <v>133</v>
      </c>
      <c r="G40" s="191" t="s">
        <v>185</v>
      </c>
      <c r="H40" s="191" t="s">
        <v>115</v>
      </c>
      <c r="I40" s="292"/>
      <c r="J40" s="279"/>
      <c r="K40" s="294"/>
      <c r="L40" s="209">
        <v>40</v>
      </c>
      <c r="M40" s="183">
        <v>36</v>
      </c>
      <c r="N40" s="183">
        <v>24</v>
      </c>
      <c r="O40" s="183">
        <v>30</v>
      </c>
      <c r="P40" s="183">
        <v>36</v>
      </c>
      <c r="Q40" s="183">
        <v>30</v>
      </c>
      <c r="R40" s="183">
        <v>12</v>
      </c>
      <c r="S40" s="183">
        <v>24</v>
      </c>
      <c r="T40" s="183">
        <v>6</v>
      </c>
      <c r="U40" s="210">
        <f>SUM(M40:T40)</f>
        <v>198</v>
      </c>
      <c r="V40" s="184"/>
    </row>
    <row r="41" spans="1:26" ht="12.75" x14ac:dyDescent="0.2">
      <c r="A41" s="220"/>
      <c r="B41" s="276"/>
      <c r="C41" s="279"/>
      <c r="D41" s="279"/>
      <c r="E41" s="190" t="s">
        <v>114</v>
      </c>
      <c r="F41" s="191" t="s">
        <v>134</v>
      </c>
      <c r="G41" s="191" t="s">
        <v>185</v>
      </c>
      <c r="H41" s="191" t="s">
        <v>115</v>
      </c>
      <c r="I41" s="291"/>
      <c r="J41" s="281"/>
      <c r="K41" s="295"/>
      <c r="L41" s="209">
        <v>40</v>
      </c>
      <c r="M41" s="183">
        <v>6</v>
      </c>
      <c r="N41" s="183">
        <v>6</v>
      </c>
      <c r="O41" s="183" t="s">
        <v>183</v>
      </c>
      <c r="P41" s="183">
        <v>6</v>
      </c>
      <c r="Q41" s="183">
        <v>6</v>
      </c>
      <c r="R41" s="183">
        <v>12</v>
      </c>
      <c r="S41" s="183">
        <v>6</v>
      </c>
      <c r="T41" s="183">
        <v>6</v>
      </c>
      <c r="U41" s="210">
        <f>SUM(M41:T41)</f>
        <v>48</v>
      </c>
      <c r="V41" s="184"/>
    </row>
    <row r="42" spans="1:26" ht="12.75" x14ac:dyDescent="0.2">
      <c r="A42" s="220"/>
      <c r="B42" s="276"/>
      <c r="C42" s="279"/>
      <c r="D42" s="279"/>
      <c r="E42" s="195" t="s">
        <v>110</v>
      </c>
      <c r="F42" s="196"/>
      <c r="G42" s="196"/>
      <c r="H42" s="196"/>
      <c r="I42" s="196"/>
      <c r="J42" s="196"/>
      <c r="K42" s="196"/>
      <c r="L42" s="211">
        <f t="shared" ref="L42:U42" si="5">SUM(L39:L41)</f>
        <v>120</v>
      </c>
      <c r="M42" s="212">
        <f t="shared" si="5"/>
        <v>78</v>
      </c>
      <c r="N42" s="212">
        <f t="shared" si="5"/>
        <v>48</v>
      </c>
      <c r="O42" s="212">
        <f t="shared" si="5"/>
        <v>48</v>
      </c>
      <c r="P42" s="212">
        <f t="shared" si="5"/>
        <v>66</v>
      </c>
      <c r="Q42" s="212">
        <f t="shared" si="5"/>
        <v>60</v>
      </c>
      <c r="R42" s="212">
        <f t="shared" si="5"/>
        <v>48</v>
      </c>
      <c r="S42" s="212">
        <f t="shared" si="5"/>
        <v>55</v>
      </c>
      <c r="T42" s="212">
        <f t="shared" si="5"/>
        <v>25</v>
      </c>
      <c r="U42" s="213">
        <f t="shared" si="5"/>
        <v>428</v>
      </c>
      <c r="V42" s="184"/>
      <c r="Z42" s="180"/>
    </row>
    <row r="43" spans="1:26" ht="12.75" x14ac:dyDescent="0.2">
      <c r="A43" s="220"/>
      <c r="B43" s="276"/>
      <c r="C43" s="279"/>
      <c r="D43" s="279"/>
      <c r="E43" s="190" t="s">
        <v>116</v>
      </c>
      <c r="F43" s="191" t="s">
        <v>135</v>
      </c>
      <c r="G43" s="191" t="s">
        <v>187</v>
      </c>
      <c r="H43" s="191" t="s">
        <v>115</v>
      </c>
      <c r="I43" s="278">
        <v>142.1</v>
      </c>
      <c r="J43" s="278">
        <v>6</v>
      </c>
      <c r="K43" s="299">
        <v>5</v>
      </c>
      <c r="L43" s="209">
        <v>40</v>
      </c>
      <c r="M43" s="183">
        <v>12</v>
      </c>
      <c r="N43" s="183">
        <v>6</v>
      </c>
      <c r="O43" s="183">
        <v>30</v>
      </c>
      <c r="P43" s="183">
        <v>30</v>
      </c>
      <c r="Q43" s="183">
        <v>30</v>
      </c>
      <c r="R43" s="183">
        <v>30</v>
      </c>
      <c r="S43" s="183">
        <v>18</v>
      </c>
      <c r="T43" s="183">
        <v>6</v>
      </c>
      <c r="U43" s="210">
        <f>SUM(M43:T43)</f>
        <v>162</v>
      </c>
      <c r="V43" s="184"/>
    </row>
    <row r="44" spans="1:26" ht="12.75" x14ac:dyDescent="0.2">
      <c r="A44" s="220"/>
      <c r="B44" s="276"/>
      <c r="C44" s="279"/>
      <c r="D44" s="279"/>
      <c r="E44" s="190" t="s">
        <v>116</v>
      </c>
      <c r="F44" s="191" t="s">
        <v>136</v>
      </c>
      <c r="G44" s="191" t="s">
        <v>185</v>
      </c>
      <c r="H44" s="191" t="s">
        <v>115</v>
      </c>
      <c r="I44" s="292"/>
      <c r="J44" s="279"/>
      <c r="K44" s="294"/>
      <c r="L44" s="209">
        <v>40</v>
      </c>
      <c r="M44" s="183">
        <v>30</v>
      </c>
      <c r="N44" s="183">
        <v>30</v>
      </c>
      <c r="O44" s="183">
        <v>24</v>
      </c>
      <c r="P44" s="183">
        <v>18</v>
      </c>
      <c r="Q44" s="183">
        <v>30</v>
      </c>
      <c r="R44" s="183">
        <v>30</v>
      </c>
      <c r="S44" s="183">
        <v>30</v>
      </c>
      <c r="T44" s="183">
        <v>25</v>
      </c>
      <c r="U44" s="210">
        <f>SUM(M44:T44)</f>
        <v>217</v>
      </c>
      <c r="V44" s="184"/>
    </row>
    <row r="45" spans="1:26" ht="12.75" x14ac:dyDescent="0.2">
      <c r="A45" s="220"/>
      <c r="B45" s="276"/>
      <c r="C45" s="279"/>
      <c r="D45" s="279"/>
      <c r="E45" s="190" t="s">
        <v>116</v>
      </c>
      <c r="F45" s="191" t="s">
        <v>137</v>
      </c>
      <c r="G45" s="191" t="s">
        <v>185</v>
      </c>
      <c r="H45" s="191" t="s">
        <v>115</v>
      </c>
      <c r="I45" s="291"/>
      <c r="J45" s="281"/>
      <c r="K45" s="295"/>
      <c r="L45" s="209">
        <v>40</v>
      </c>
      <c r="M45" s="183">
        <v>30</v>
      </c>
      <c r="N45" s="183">
        <v>30</v>
      </c>
      <c r="O45" s="183">
        <v>30</v>
      </c>
      <c r="P45" s="183">
        <v>18</v>
      </c>
      <c r="Q45" s="183">
        <v>18</v>
      </c>
      <c r="R45" s="183">
        <v>18</v>
      </c>
      <c r="S45" s="183">
        <v>12</v>
      </c>
      <c r="T45" s="183">
        <v>18</v>
      </c>
      <c r="U45" s="210">
        <f>SUM(M45:T45)</f>
        <v>174</v>
      </c>
      <c r="V45" s="184"/>
    </row>
    <row r="46" spans="1:26" ht="12.75" x14ac:dyDescent="0.2">
      <c r="A46" s="220"/>
      <c r="B46" s="276"/>
      <c r="C46" s="279"/>
      <c r="D46" s="279"/>
      <c r="E46" s="195" t="s">
        <v>110</v>
      </c>
      <c r="F46" s="196"/>
      <c r="G46" s="196"/>
      <c r="H46" s="196"/>
      <c r="I46" s="196"/>
      <c r="J46" s="196"/>
      <c r="K46" s="196"/>
      <c r="L46" s="211">
        <f t="shared" ref="L46:U46" si="6">SUM(L43:L45)</f>
        <v>120</v>
      </c>
      <c r="M46" s="212">
        <f t="shared" si="6"/>
        <v>72</v>
      </c>
      <c r="N46" s="212">
        <f t="shared" si="6"/>
        <v>66</v>
      </c>
      <c r="O46" s="212">
        <f t="shared" si="6"/>
        <v>84</v>
      </c>
      <c r="P46" s="212">
        <f t="shared" si="6"/>
        <v>66</v>
      </c>
      <c r="Q46" s="212">
        <f t="shared" si="6"/>
        <v>78</v>
      </c>
      <c r="R46" s="212">
        <f t="shared" si="6"/>
        <v>78</v>
      </c>
      <c r="S46" s="212">
        <f t="shared" si="6"/>
        <v>60</v>
      </c>
      <c r="T46" s="212">
        <f t="shared" si="6"/>
        <v>49</v>
      </c>
      <c r="U46" s="213">
        <f t="shared" si="6"/>
        <v>553</v>
      </c>
      <c r="V46" s="184"/>
    </row>
    <row r="47" spans="1:26" ht="12.75" x14ac:dyDescent="0.2">
      <c r="A47" s="220"/>
      <c r="B47" s="276"/>
      <c r="C47" s="279"/>
      <c r="D47" s="279"/>
      <c r="E47" s="190" t="s">
        <v>117</v>
      </c>
      <c r="F47" s="191" t="s">
        <v>138</v>
      </c>
      <c r="G47" s="191" t="s">
        <v>187</v>
      </c>
      <c r="H47" s="191" t="s">
        <v>115</v>
      </c>
      <c r="I47" s="278">
        <v>178.2</v>
      </c>
      <c r="J47" s="278">
        <v>8</v>
      </c>
      <c r="K47" s="278">
        <v>8</v>
      </c>
      <c r="L47" s="209">
        <v>30</v>
      </c>
      <c r="M47" s="183">
        <v>18</v>
      </c>
      <c r="N47" s="183">
        <v>18</v>
      </c>
      <c r="O47" s="183">
        <v>18</v>
      </c>
      <c r="P47" s="183">
        <v>12</v>
      </c>
      <c r="Q47" s="183">
        <v>12</v>
      </c>
      <c r="R47" s="183">
        <v>22</v>
      </c>
      <c r="S47" s="183">
        <v>12</v>
      </c>
      <c r="T47" s="183">
        <v>13</v>
      </c>
      <c r="U47" s="210">
        <f>SUM(M47:T47)</f>
        <v>125</v>
      </c>
      <c r="V47" s="184"/>
    </row>
    <row r="48" spans="1:26" ht="12.75" x14ac:dyDescent="0.2">
      <c r="A48" s="220"/>
      <c r="B48" s="276"/>
      <c r="C48" s="279"/>
      <c r="D48" s="279"/>
      <c r="E48" s="190" t="s">
        <v>117</v>
      </c>
      <c r="F48" s="191" t="s">
        <v>139</v>
      </c>
      <c r="G48" s="191" t="s">
        <v>78</v>
      </c>
      <c r="H48" s="191" t="s">
        <v>115</v>
      </c>
      <c r="I48" s="292"/>
      <c r="J48" s="279"/>
      <c r="K48" s="279"/>
      <c r="L48" s="209">
        <v>30</v>
      </c>
      <c r="M48" s="183">
        <v>12</v>
      </c>
      <c r="N48" s="183">
        <v>6</v>
      </c>
      <c r="O48" s="183">
        <v>18</v>
      </c>
      <c r="P48" s="183">
        <v>12</v>
      </c>
      <c r="Q48" s="183">
        <v>6</v>
      </c>
      <c r="R48" s="183">
        <v>12</v>
      </c>
      <c r="S48" s="183">
        <v>6</v>
      </c>
      <c r="T48" s="183">
        <v>12</v>
      </c>
      <c r="U48" s="210">
        <f>SUM(M48:T48)</f>
        <v>84</v>
      </c>
      <c r="V48" s="184"/>
    </row>
    <row r="49" spans="1:25" ht="12.75" x14ac:dyDescent="0.2">
      <c r="A49" s="220"/>
      <c r="B49" s="276"/>
      <c r="C49" s="279"/>
      <c r="D49" s="279"/>
      <c r="E49" s="190" t="s">
        <v>117</v>
      </c>
      <c r="F49" s="191" t="s">
        <v>140</v>
      </c>
      <c r="G49" s="191" t="s">
        <v>189</v>
      </c>
      <c r="H49" s="191" t="s">
        <v>115</v>
      </c>
      <c r="I49" s="292"/>
      <c r="J49" s="279"/>
      <c r="K49" s="279"/>
      <c r="L49" s="209">
        <v>30</v>
      </c>
      <c r="M49" s="183">
        <v>24</v>
      </c>
      <c r="N49" s="183">
        <v>24</v>
      </c>
      <c r="O49" s="183">
        <v>18</v>
      </c>
      <c r="P49" s="183">
        <v>30</v>
      </c>
      <c r="Q49" s="183">
        <v>18</v>
      </c>
      <c r="R49" s="183">
        <v>24</v>
      </c>
      <c r="S49" s="183">
        <v>24</v>
      </c>
      <c r="T49" s="183">
        <v>24</v>
      </c>
      <c r="U49" s="210">
        <f>SUM(M49:T49)</f>
        <v>186</v>
      </c>
      <c r="V49" s="184"/>
    </row>
    <row r="50" spans="1:25" ht="12.75" x14ac:dyDescent="0.2">
      <c r="A50" s="220"/>
      <c r="B50" s="276"/>
      <c r="C50" s="279"/>
      <c r="D50" s="279"/>
      <c r="E50" s="190" t="s">
        <v>117</v>
      </c>
      <c r="F50" s="191" t="s">
        <v>141</v>
      </c>
      <c r="G50" s="191" t="s">
        <v>189</v>
      </c>
      <c r="H50" s="191" t="s">
        <v>115</v>
      </c>
      <c r="I50" s="291"/>
      <c r="J50" s="281"/>
      <c r="K50" s="281"/>
      <c r="L50" s="209">
        <v>30</v>
      </c>
      <c r="M50" s="183">
        <v>24</v>
      </c>
      <c r="N50" s="183">
        <v>12</v>
      </c>
      <c r="O50" s="183">
        <v>18</v>
      </c>
      <c r="P50" s="183">
        <v>18</v>
      </c>
      <c r="Q50" s="183">
        <v>12</v>
      </c>
      <c r="R50" s="183">
        <v>24</v>
      </c>
      <c r="S50" s="183">
        <v>24</v>
      </c>
      <c r="T50" s="183">
        <v>18</v>
      </c>
      <c r="U50" s="210">
        <f>SUM(M50:T50)</f>
        <v>150</v>
      </c>
      <c r="V50" s="184"/>
    </row>
    <row r="51" spans="1:25" ht="12.75" x14ac:dyDescent="0.2">
      <c r="A51" s="220"/>
      <c r="B51" s="276"/>
      <c r="C51" s="279"/>
      <c r="D51" s="279"/>
      <c r="E51" s="195" t="s">
        <v>110</v>
      </c>
      <c r="F51" s="199"/>
      <c r="G51" s="199"/>
      <c r="H51" s="196"/>
      <c r="I51" s="196"/>
      <c r="J51" s="196"/>
      <c r="K51" s="196"/>
      <c r="L51" s="211">
        <f t="shared" ref="L51:U51" si="7">SUM(L47:L50)</f>
        <v>120</v>
      </c>
      <c r="M51" s="212">
        <f t="shared" si="7"/>
        <v>78</v>
      </c>
      <c r="N51" s="212">
        <f t="shared" si="7"/>
        <v>60</v>
      </c>
      <c r="O51" s="212">
        <f t="shared" si="7"/>
        <v>72</v>
      </c>
      <c r="P51" s="212">
        <f t="shared" si="7"/>
        <v>72</v>
      </c>
      <c r="Q51" s="212">
        <f t="shared" si="7"/>
        <v>48</v>
      </c>
      <c r="R51" s="212">
        <f t="shared" si="7"/>
        <v>82</v>
      </c>
      <c r="S51" s="212">
        <f t="shared" si="7"/>
        <v>66</v>
      </c>
      <c r="T51" s="212">
        <f t="shared" si="7"/>
        <v>67</v>
      </c>
      <c r="U51" s="213">
        <f t="shared" si="7"/>
        <v>545</v>
      </c>
      <c r="V51" s="184"/>
      <c r="Y51" s="180"/>
    </row>
    <row r="52" spans="1:25" ht="12.75" x14ac:dyDescent="0.2">
      <c r="A52" s="220"/>
      <c r="B52" s="276"/>
      <c r="C52" s="279"/>
      <c r="D52" s="279"/>
      <c r="E52" s="283" t="s">
        <v>118</v>
      </c>
      <c r="F52" s="284"/>
      <c r="G52" s="284"/>
      <c r="H52" s="285"/>
      <c r="I52" s="192"/>
      <c r="J52" s="278">
        <v>8</v>
      </c>
      <c r="K52" s="289">
        <v>0</v>
      </c>
      <c r="L52" s="191"/>
      <c r="M52" s="214"/>
      <c r="N52" s="214"/>
      <c r="O52" s="214"/>
      <c r="P52" s="214"/>
      <c r="Q52" s="214"/>
      <c r="R52" s="214"/>
      <c r="S52" s="214"/>
      <c r="T52" s="214"/>
      <c r="U52" s="200"/>
      <c r="V52" s="184"/>
      <c r="X52" s="177" t="s">
        <v>142</v>
      </c>
    </row>
    <row r="53" spans="1:25" ht="13.5" thickBot="1" x14ac:dyDescent="0.25">
      <c r="A53" s="220"/>
      <c r="B53" s="277"/>
      <c r="C53" s="280"/>
      <c r="D53" s="280"/>
      <c r="E53" s="286"/>
      <c r="F53" s="287"/>
      <c r="G53" s="287"/>
      <c r="H53" s="288"/>
      <c r="I53" s="201"/>
      <c r="J53" s="280"/>
      <c r="K53" s="280"/>
      <c r="L53" s="202"/>
      <c r="M53" s="202"/>
      <c r="N53" s="202"/>
      <c r="O53" s="202"/>
      <c r="P53" s="202"/>
      <c r="Q53" s="202"/>
      <c r="R53" s="202"/>
      <c r="S53" s="202"/>
      <c r="T53" s="202"/>
      <c r="U53" s="203"/>
      <c r="V53" s="184"/>
    </row>
    <row r="54" spans="1:25" ht="14.25" thickTop="1" thickBot="1" x14ac:dyDescent="0.25">
      <c r="A54" s="221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204"/>
      <c r="N54" s="184"/>
      <c r="O54" s="184"/>
      <c r="P54" s="184"/>
      <c r="Q54" s="184"/>
      <c r="R54" s="184"/>
      <c r="S54" s="184"/>
      <c r="T54" s="184"/>
      <c r="U54" s="185"/>
      <c r="V54" s="184"/>
    </row>
    <row r="55" spans="1:25" ht="14.25" thickTop="1" thickBot="1" x14ac:dyDescent="0.25">
      <c r="A55" s="221"/>
      <c r="B55" s="184"/>
      <c r="C55" s="184"/>
      <c r="D55" s="184"/>
      <c r="E55" s="266" t="s">
        <v>119</v>
      </c>
      <c r="F55" s="267"/>
      <c r="G55" s="267"/>
      <c r="H55" s="267"/>
      <c r="I55" s="267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8"/>
      <c r="U55" s="185"/>
      <c r="V55" s="184"/>
    </row>
    <row r="56" spans="1:25" ht="14.25" thickTop="1" thickBot="1" x14ac:dyDescent="0.25">
      <c r="A56" s="221"/>
      <c r="B56" s="184"/>
      <c r="C56" s="184"/>
      <c r="D56" s="184"/>
      <c r="E56" s="271" t="s">
        <v>143</v>
      </c>
      <c r="F56" s="205" t="s">
        <v>120</v>
      </c>
      <c r="G56" s="206"/>
      <c r="H56" s="270"/>
      <c r="I56" s="267"/>
      <c r="J56" s="267"/>
      <c r="K56" s="267"/>
      <c r="L56" s="267"/>
      <c r="M56" s="267"/>
      <c r="N56" s="267"/>
      <c r="O56" s="267"/>
      <c r="P56" s="267"/>
      <c r="Q56" s="267"/>
      <c r="R56" s="267"/>
      <c r="S56" s="267"/>
      <c r="T56" s="268"/>
      <c r="U56" s="185"/>
      <c r="V56" s="184"/>
    </row>
    <row r="57" spans="1:25" ht="14.25" thickTop="1" thickBot="1" x14ac:dyDescent="0.25">
      <c r="A57" s="221"/>
      <c r="B57" s="184"/>
      <c r="C57" s="184"/>
      <c r="D57" s="184"/>
      <c r="E57" s="272"/>
      <c r="F57" s="205" t="s">
        <v>121</v>
      </c>
      <c r="G57" s="206"/>
      <c r="H57" s="270"/>
      <c r="I57" s="267"/>
      <c r="J57" s="267"/>
      <c r="K57" s="267"/>
      <c r="L57" s="267"/>
      <c r="M57" s="267"/>
      <c r="N57" s="267"/>
      <c r="O57" s="267"/>
      <c r="P57" s="267"/>
      <c r="Q57" s="267"/>
      <c r="R57" s="267"/>
      <c r="S57" s="267"/>
      <c r="T57" s="268"/>
      <c r="U57" s="185"/>
      <c r="V57" s="184"/>
    </row>
    <row r="58" spans="1:25" ht="14.25" thickTop="1" thickBot="1" x14ac:dyDescent="0.25">
      <c r="A58" s="221"/>
      <c r="B58" s="184"/>
      <c r="C58" s="184"/>
      <c r="D58" s="184"/>
      <c r="E58" s="272"/>
      <c r="F58" s="205" t="s">
        <v>122</v>
      </c>
      <c r="G58" s="206"/>
      <c r="H58" s="274"/>
      <c r="I58" s="267"/>
      <c r="J58" s="267"/>
      <c r="K58" s="267"/>
      <c r="L58" s="267"/>
      <c r="M58" s="267"/>
      <c r="N58" s="267"/>
      <c r="O58" s="267"/>
      <c r="P58" s="267"/>
      <c r="Q58" s="267"/>
      <c r="R58" s="267"/>
      <c r="S58" s="267"/>
      <c r="T58" s="268"/>
      <c r="U58" s="185"/>
      <c r="V58" s="184"/>
    </row>
    <row r="59" spans="1:25" ht="14.25" thickTop="1" thickBot="1" x14ac:dyDescent="0.25">
      <c r="A59" s="221"/>
      <c r="B59" s="184"/>
      <c r="C59" s="184"/>
      <c r="D59" s="184"/>
      <c r="E59" s="272"/>
      <c r="F59" s="205" t="s">
        <v>123</v>
      </c>
      <c r="G59" s="206"/>
      <c r="H59" s="270"/>
      <c r="I59" s="267"/>
      <c r="J59" s="267"/>
      <c r="K59" s="267"/>
      <c r="L59" s="267"/>
      <c r="M59" s="267"/>
      <c r="N59" s="267"/>
      <c r="O59" s="267"/>
      <c r="P59" s="267"/>
      <c r="Q59" s="267"/>
      <c r="R59" s="267"/>
      <c r="S59" s="267"/>
      <c r="T59" s="268"/>
      <c r="U59" s="185">
        <f>4*12-2</f>
        <v>46</v>
      </c>
      <c r="V59" s="184"/>
    </row>
    <row r="60" spans="1:25" ht="14.25" thickTop="1" thickBot="1" x14ac:dyDescent="0.25">
      <c r="A60" s="221"/>
      <c r="B60" s="184"/>
      <c r="C60" s="184"/>
      <c r="D60" s="184"/>
      <c r="E60" s="272"/>
      <c r="F60" s="205" t="s">
        <v>124</v>
      </c>
      <c r="G60" s="206"/>
      <c r="H60" s="270"/>
      <c r="I60" s="267"/>
      <c r="J60" s="267"/>
      <c r="K60" s="267"/>
      <c r="L60" s="267"/>
      <c r="M60" s="267"/>
      <c r="N60" s="267"/>
      <c r="O60" s="267"/>
      <c r="P60" s="267"/>
      <c r="Q60" s="267"/>
      <c r="R60" s="267"/>
      <c r="S60" s="267"/>
      <c r="T60" s="268"/>
      <c r="U60" s="185"/>
      <c r="V60" s="184"/>
      <c r="X60" s="177" t="s">
        <v>144</v>
      </c>
    </row>
    <row r="61" spans="1:25" ht="14.25" thickTop="1" thickBot="1" x14ac:dyDescent="0.25">
      <c r="A61" s="221"/>
      <c r="B61" s="184"/>
      <c r="C61" s="184"/>
      <c r="D61" s="184"/>
      <c r="E61" s="272"/>
      <c r="F61" s="206" t="s">
        <v>125</v>
      </c>
      <c r="G61" s="206"/>
      <c r="H61" s="269"/>
      <c r="I61" s="267"/>
      <c r="J61" s="267"/>
      <c r="K61" s="267"/>
      <c r="L61" s="267"/>
      <c r="M61" s="267"/>
      <c r="N61" s="267"/>
      <c r="O61" s="267"/>
      <c r="P61" s="267"/>
      <c r="Q61" s="267"/>
      <c r="R61" s="267"/>
      <c r="S61" s="267"/>
      <c r="T61" s="268"/>
      <c r="U61" s="185"/>
      <c r="V61" s="184"/>
    </row>
    <row r="62" spans="1:25" ht="14.25" thickTop="1" thickBot="1" x14ac:dyDescent="0.25">
      <c r="A62" s="221"/>
      <c r="B62" s="184"/>
      <c r="C62" s="184"/>
      <c r="D62" s="184"/>
      <c r="E62" s="273"/>
      <c r="F62" s="205" t="s">
        <v>126</v>
      </c>
      <c r="G62" s="206"/>
      <c r="H62" s="270"/>
      <c r="I62" s="267"/>
      <c r="J62" s="267"/>
      <c r="K62" s="267"/>
      <c r="L62" s="267"/>
      <c r="M62" s="267"/>
      <c r="N62" s="267"/>
      <c r="O62" s="267"/>
      <c r="P62" s="267"/>
      <c r="Q62" s="267"/>
      <c r="R62" s="267"/>
      <c r="S62" s="267"/>
      <c r="T62" s="268"/>
      <c r="U62" s="185"/>
      <c r="V62" s="184"/>
    </row>
    <row r="63" spans="1:25" ht="14.25" thickTop="1" thickBot="1" x14ac:dyDescent="0.25">
      <c r="A63" s="221"/>
      <c r="B63" s="184"/>
      <c r="C63" s="184"/>
      <c r="D63" s="184"/>
      <c r="E63" s="207" t="s">
        <v>127</v>
      </c>
      <c r="F63" s="205" t="s">
        <v>128</v>
      </c>
      <c r="G63" s="206"/>
      <c r="H63" s="270"/>
      <c r="I63" s="267"/>
      <c r="J63" s="267"/>
      <c r="K63" s="267"/>
      <c r="L63" s="267"/>
      <c r="M63" s="267"/>
      <c r="N63" s="267"/>
      <c r="O63" s="267"/>
      <c r="P63" s="267"/>
      <c r="Q63" s="267"/>
      <c r="R63" s="267"/>
      <c r="S63" s="267"/>
      <c r="T63" s="268"/>
      <c r="U63" s="185"/>
      <c r="V63" s="184"/>
    </row>
    <row r="64" spans="1:25" ht="9" customHeight="1" thickTop="1" x14ac:dyDescent="0.2">
      <c r="A64" s="221"/>
      <c r="B64" s="184"/>
      <c r="C64" s="184"/>
      <c r="D64" s="184"/>
      <c r="E64" s="184"/>
      <c r="F64" s="184"/>
      <c r="G64" s="184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4"/>
    </row>
    <row r="65" spans="1:22" ht="12.75" x14ac:dyDescent="0.2">
      <c r="A65" s="221"/>
      <c r="B65" s="184"/>
      <c r="C65" s="184"/>
      <c r="D65" s="184"/>
      <c r="E65" s="184"/>
      <c r="F65" s="184"/>
      <c r="G65" s="184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4"/>
    </row>
    <row r="66" spans="1:22" ht="13.5" thickBot="1" x14ac:dyDescent="0.25">
      <c r="A66" s="221"/>
      <c r="B66" s="184"/>
      <c r="C66" s="184"/>
      <c r="D66" s="184"/>
      <c r="E66" s="184"/>
      <c r="F66" s="184"/>
      <c r="G66" s="184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4"/>
    </row>
    <row r="67" spans="1:22" ht="13.5" thickTop="1" x14ac:dyDescent="0.2">
      <c r="A67" s="219"/>
      <c r="B67" s="186" t="s">
        <v>95</v>
      </c>
      <c r="C67" s="187" t="s">
        <v>30</v>
      </c>
      <c r="D67" s="187" t="s">
        <v>96</v>
      </c>
      <c r="E67" s="187" t="s">
        <v>97</v>
      </c>
      <c r="F67" s="187" t="s">
        <v>186</v>
      </c>
      <c r="G67" s="223" t="s">
        <v>184</v>
      </c>
      <c r="H67" s="187" t="s">
        <v>99</v>
      </c>
      <c r="I67" s="187" t="s">
        <v>100</v>
      </c>
      <c r="J67" s="187" t="s">
        <v>79</v>
      </c>
      <c r="K67" s="187" t="s">
        <v>80</v>
      </c>
      <c r="L67" s="187" t="s">
        <v>101</v>
      </c>
      <c r="M67" s="208" t="s">
        <v>102</v>
      </c>
      <c r="N67" s="208" t="s">
        <v>103</v>
      </c>
      <c r="O67" s="208" t="s">
        <v>104</v>
      </c>
      <c r="P67" s="208" t="s">
        <v>105</v>
      </c>
      <c r="Q67" s="208" t="s">
        <v>106</v>
      </c>
      <c r="R67" s="208" t="s">
        <v>107</v>
      </c>
      <c r="S67" s="208" t="s">
        <v>108</v>
      </c>
      <c r="T67" s="208" t="s">
        <v>109</v>
      </c>
      <c r="U67" s="215" t="s">
        <v>110</v>
      </c>
      <c r="V67" s="184"/>
    </row>
    <row r="68" spans="1:22" ht="12.75" x14ac:dyDescent="0.2">
      <c r="A68" s="220"/>
      <c r="B68" s="275">
        <v>46129</v>
      </c>
      <c r="C68" s="278">
        <v>5</v>
      </c>
      <c r="D68" s="278" t="s">
        <v>111</v>
      </c>
      <c r="E68" s="190" t="s">
        <v>112</v>
      </c>
      <c r="F68" s="191" t="s">
        <v>145</v>
      </c>
      <c r="G68" s="191" t="s">
        <v>190</v>
      </c>
      <c r="H68" s="191" t="s">
        <v>130</v>
      </c>
      <c r="I68" s="278">
        <v>85.3</v>
      </c>
      <c r="J68" s="278">
        <v>2</v>
      </c>
      <c r="K68" s="278">
        <v>2</v>
      </c>
      <c r="L68" s="209">
        <v>60</v>
      </c>
      <c r="M68" s="183">
        <v>12</v>
      </c>
      <c r="N68" s="183">
        <v>30</v>
      </c>
      <c r="O68" s="183">
        <v>18</v>
      </c>
      <c r="P68" s="183">
        <v>24</v>
      </c>
      <c r="Q68" s="183">
        <v>12</v>
      </c>
      <c r="R68" s="183">
        <v>24</v>
      </c>
      <c r="S68" s="183">
        <v>30</v>
      </c>
      <c r="T68" s="183">
        <v>36</v>
      </c>
      <c r="U68" s="210">
        <f>SUM(M68:T68)</f>
        <v>186</v>
      </c>
      <c r="V68" s="184"/>
    </row>
    <row r="69" spans="1:22" ht="12.75" x14ac:dyDescent="0.2">
      <c r="A69" s="222"/>
      <c r="B69" s="276"/>
      <c r="C69" s="279"/>
      <c r="D69" s="279"/>
      <c r="E69" s="190" t="s">
        <v>112</v>
      </c>
      <c r="F69" s="191" t="s">
        <v>146</v>
      </c>
      <c r="G69" s="191" t="s">
        <v>78</v>
      </c>
      <c r="H69" s="191" t="s">
        <v>130</v>
      </c>
      <c r="I69" s="291"/>
      <c r="J69" s="281"/>
      <c r="K69" s="281"/>
      <c r="L69" s="209">
        <v>60</v>
      </c>
      <c r="M69" s="183">
        <v>30</v>
      </c>
      <c r="N69" s="183">
        <v>24</v>
      </c>
      <c r="O69" s="183">
        <v>30</v>
      </c>
      <c r="P69" s="183">
        <v>24</v>
      </c>
      <c r="Q69" s="183">
        <v>12</v>
      </c>
      <c r="R69" s="183" t="s">
        <v>183</v>
      </c>
      <c r="S69" s="183" t="s">
        <v>183</v>
      </c>
      <c r="T69" s="183" t="s">
        <v>183</v>
      </c>
      <c r="U69" s="210">
        <f>SUM(M69:T69)</f>
        <v>120</v>
      </c>
      <c r="V69" s="184"/>
    </row>
    <row r="70" spans="1:22" ht="12.75" x14ac:dyDescent="0.2">
      <c r="A70" s="222"/>
      <c r="B70" s="276"/>
      <c r="C70" s="279"/>
      <c r="D70" s="279"/>
      <c r="E70" s="195" t="s">
        <v>110</v>
      </c>
      <c r="F70" s="196"/>
      <c r="G70" s="196"/>
      <c r="H70" s="196"/>
      <c r="I70" s="196"/>
      <c r="J70" s="196"/>
      <c r="K70" s="196"/>
      <c r="L70" s="211">
        <f t="shared" ref="L70:U70" si="8">SUM(L68:L69)</f>
        <v>120</v>
      </c>
      <c r="M70" s="181">
        <v>42</v>
      </c>
      <c r="N70" s="181">
        <v>54</v>
      </c>
      <c r="O70" s="181">
        <v>48</v>
      </c>
      <c r="P70" s="181">
        <v>48</v>
      </c>
      <c r="Q70" s="181">
        <v>24</v>
      </c>
      <c r="R70" s="181">
        <v>24</v>
      </c>
      <c r="S70" s="181">
        <v>30</v>
      </c>
      <c r="T70" s="181">
        <v>36</v>
      </c>
      <c r="U70" s="213">
        <f t="shared" si="8"/>
        <v>306</v>
      </c>
      <c r="V70" s="184"/>
    </row>
    <row r="71" spans="1:22" ht="12.75" x14ac:dyDescent="0.2">
      <c r="A71" s="222"/>
      <c r="B71" s="276"/>
      <c r="C71" s="279"/>
      <c r="D71" s="279"/>
      <c r="E71" s="190" t="s">
        <v>114</v>
      </c>
      <c r="F71" s="191" t="s">
        <v>147</v>
      </c>
      <c r="G71" s="191" t="s">
        <v>190</v>
      </c>
      <c r="H71" s="191" t="s">
        <v>115</v>
      </c>
      <c r="I71" s="278">
        <v>114.3</v>
      </c>
      <c r="J71" s="278">
        <v>6</v>
      </c>
      <c r="K71" s="282">
        <v>6</v>
      </c>
      <c r="L71" s="209">
        <v>40</v>
      </c>
      <c r="M71" s="183">
        <v>18</v>
      </c>
      <c r="N71" s="183">
        <v>24</v>
      </c>
      <c r="O71" s="183">
        <v>24</v>
      </c>
      <c r="P71" s="183">
        <v>24</v>
      </c>
      <c r="Q71" s="183">
        <v>24</v>
      </c>
      <c r="R71" s="183">
        <v>24</v>
      </c>
      <c r="S71" s="183">
        <v>6</v>
      </c>
      <c r="T71" s="183">
        <v>12</v>
      </c>
      <c r="U71" s="210">
        <f>SUM(M71:T71)</f>
        <v>156</v>
      </c>
      <c r="V71" s="184"/>
    </row>
    <row r="72" spans="1:22" ht="12.75" x14ac:dyDescent="0.2">
      <c r="A72" s="222"/>
      <c r="B72" s="276"/>
      <c r="C72" s="279"/>
      <c r="D72" s="279"/>
      <c r="E72" s="190" t="s">
        <v>114</v>
      </c>
      <c r="F72" s="191" t="s">
        <v>148</v>
      </c>
      <c r="G72" s="191" t="s">
        <v>78</v>
      </c>
      <c r="H72" s="191" t="s">
        <v>115</v>
      </c>
      <c r="I72" s="292"/>
      <c r="J72" s="279"/>
      <c r="K72" s="279"/>
      <c r="L72" s="209">
        <v>40</v>
      </c>
      <c r="M72" s="183">
        <v>12</v>
      </c>
      <c r="N72" s="183">
        <v>18</v>
      </c>
      <c r="O72" s="183" t="s">
        <v>183</v>
      </c>
      <c r="P72" s="183" t="s">
        <v>183</v>
      </c>
      <c r="Q72" s="183" t="s">
        <v>183</v>
      </c>
      <c r="R72" s="183">
        <v>12</v>
      </c>
      <c r="S72" s="183">
        <v>18</v>
      </c>
      <c r="T72" s="183">
        <v>18</v>
      </c>
      <c r="U72" s="210">
        <f>SUM(M72:T72)</f>
        <v>78</v>
      </c>
      <c r="V72" s="184"/>
    </row>
    <row r="73" spans="1:22" ht="12.75" x14ac:dyDescent="0.2">
      <c r="A73" s="222"/>
      <c r="B73" s="276"/>
      <c r="C73" s="279"/>
      <c r="D73" s="279"/>
      <c r="E73" s="190" t="s">
        <v>114</v>
      </c>
      <c r="F73" s="191" t="s">
        <v>149</v>
      </c>
      <c r="G73" s="191" t="s">
        <v>185</v>
      </c>
      <c r="H73" s="191" t="s">
        <v>115</v>
      </c>
      <c r="I73" s="291"/>
      <c r="J73" s="281"/>
      <c r="K73" s="281"/>
      <c r="L73" s="209">
        <v>40</v>
      </c>
      <c r="M73" s="183">
        <v>18</v>
      </c>
      <c r="N73" s="183">
        <v>18</v>
      </c>
      <c r="O73" s="183">
        <v>24</v>
      </c>
      <c r="P73" s="183">
        <v>18</v>
      </c>
      <c r="Q73" s="183">
        <v>18</v>
      </c>
      <c r="R73" s="183">
        <v>18</v>
      </c>
      <c r="S73" s="183">
        <v>18</v>
      </c>
      <c r="T73" s="183">
        <v>12</v>
      </c>
      <c r="U73" s="210">
        <f>SUM(M73:T73)</f>
        <v>144</v>
      </c>
      <c r="V73" s="184"/>
    </row>
    <row r="74" spans="1:22" ht="12.75" x14ac:dyDescent="0.2">
      <c r="A74" s="222"/>
      <c r="B74" s="276"/>
      <c r="C74" s="279"/>
      <c r="D74" s="279"/>
      <c r="E74" s="195" t="s">
        <v>110</v>
      </c>
      <c r="F74" s="196"/>
      <c r="G74" s="196"/>
      <c r="H74" s="196"/>
      <c r="I74" s="196"/>
      <c r="J74" s="196"/>
      <c r="K74" s="196"/>
      <c r="L74" s="211">
        <f t="shared" ref="L74:U74" si="9">SUM(L71:L73)</f>
        <v>120</v>
      </c>
      <c r="M74" s="181">
        <v>48</v>
      </c>
      <c r="N74" s="181">
        <v>60</v>
      </c>
      <c r="O74" s="181">
        <v>48</v>
      </c>
      <c r="P74" s="181">
        <v>42</v>
      </c>
      <c r="Q74" s="181">
        <v>42</v>
      </c>
      <c r="R74" s="181">
        <v>54</v>
      </c>
      <c r="S74" s="181">
        <v>42</v>
      </c>
      <c r="T74" s="181">
        <v>42</v>
      </c>
      <c r="U74" s="213">
        <f t="shared" si="9"/>
        <v>378</v>
      </c>
      <c r="V74" s="184"/>
    </row>
    <row r="75" spans="1:22" ht="12.75" x14ac:dyDescent="0.2">
      <c r="A75" s="222"/>
      <c r="B75" s="276"/>
      <c r="C75" s="279"/>
      <c r="D75" s="279"/>
      <c r="E75" s="190" t="s">
        <v>116</v>
      </c>
      <c r="F75" s="191" t="s">
        <v>150</v>
      </c>
      <c r="G75" s="191" t="s">
        <v>191</v>
      </c>
      <c r="H75" s="191" t="s">
        <v>115</v>
      </c>
      <c r="I75" s="278">
        <v>143.80000000000001</v>
      </c>
      <c r="J75" s="278">
        <v>6</v>
      </c>
      <c r="K75" s="278">
        <v>6</v>
      </c>
      <c r="L75" s="209">
        <v>40</v>
      </c>
      <c r="M75" s="183">
        <v>12</v>
      </c>
      <c r="N75" s="183">
        <v>12</v>
      </c>
      <c r="O75" s="183">
        <v>12</v>
      </c>
      <c r="P75" s="183">
        <v>12</v>
      </c>
      <c r="Q75" s="183">
        <v>12</v>
      </c>
      <c r="R75" s="183">
        <v>12</v>
      </c>
      <c r="S75" s="183">
        <v>12</v>
      </c>
      <c r="T75" s="183">
        <v>12</v>
      </c>
      <c r="U75" s="210">
        <f>SUM(M75:T75)</f>
        <v>96</v>
      </c>
      <c r="V75" s="184"/>
    </row>
    <row r="76" spans="1:22" ht="12.75" x14ac:dyDescent="0.2">
      <c r="A76" s="222"/>
      <c r="B76" s="276"/>
      <c r="C76" s="279"/>
      <c r="D76" s="279"/>
      <c r="E76" s="190" t="s">
        <v>116</v>
      </c>
      <c r="F76" s="191" t="s">
        <v>151</v>
      </c>
      <c r="G76" s="191" t="s">
        <v>78</v>
      </c>
      <c r="H76" s="191" t="s">
        <v>115</v>
      </c>
      <c r="I76" s="292"/>
      <c r="J76" s="279"/>
      <c r="K76" s="279"/>
      <c r="L76" s="209">
        <v>40</v>
      </c>
      <c r="M76" s="183">
        <v>12</v>
      </c>
      <c r="N76" s="183">
        <v>6</v>
      </c>
      <c r="O76" s="183">
        <v>12</v>
      </c>
      <c r="P76" s="183">
        <v>12</v>
      </c>
      <c r="Q76" s="183">
        <v>12</v>
      </c>
      <c r="R76" s="183">
        <v>12</v>
      </c>
      <c r="S76" s="183">
        <v>12</v>
      </c>
      <c r="T76" s="183">
        <v>12</v>
      </c>
      <c r="U76" s="210">
        <f>SUM(M76:T76)</f>
        <v>90</v>
      </c>
      <c r="V76" s="184"/>
    </row>
    <row r="77" spans="1:22" ht="12.75" x14ac:dyDescent="0.2">
      <c r="A77" s="222"/>
      <c r="B77" s="276"/>
      <c r="C77" s="279"/>
      <c r="D77" s="279"/>
      <c r="E77" s="190" t="s">
        <v>116</v>
      </c>
      <c r="F77" s="191" t="s">
        <v>152</v>
      </c>
      <c r="G77" s="191" t="s">
        <v>188</v>
      </c>
      <c r="H77" s="191" t="s">
        <v>115</v>
      </c>
      <c r="I77" s="291"/>
      <c r="J77" s="281"/>
      <c r="K77" s="281"/>
      <c r="L77" s="209">
        <v>40</v>
      </c>
      <c r="M77" s="183">
        <v>18</v>
      </c>
      <c r="N77" s="183">
        <v>18</v>
      </c>
      <c r="O77" s="183">
        <v>18</v>
      </c>
      <c r="P77" s="183">
        <v>18</v>
      </c>
      <c r="Q77" s="183">
        <v>18</v>
      </c>
      <c r="R77" s="183">
        <v>12</v>
      </c>
      <c r="S77" s="183">
        <v>12</v>
      </c>
      <c r="T77" s="183">
        <v>12</v>
      </c>
      <c r="U77" s="210">
        <f>SUM(M77:T77)</f>
        <v>126</v>
      </c>
      <c r="V77" s="184"/>
    </row>
    <row r="78" spans="1:22" ht="12.75" x14ac:dyDescent="0.2">
      <c r="A78" s="222"/>
      <c r="B78" s="276"/>
      <c r="C78" s="279"/>
      <c r="D78" s="279"/>
      <c r="E78" s="195" t="s">
        <v>110</v>
      </c>
      <c r="F78" s="196"/>
      <c r="G78" s="196"/>
      <c r="H78" s="196"/>
      <c r="I78" s="196"/>
      <c r="J78" s="196"/>
      <c r="K78" s="196"/>
      <c r="L78" s="211">
        <f t="shared" ref="L78:U78" si="10">SUM(L75:L77)</f>
        <v>120</v>
      </c>
      <c r="M78" s="181">
        <v>42</v>
      </c>
      <c r="N78" s="181">
        <v>36</v>
      </c>
      <c r="O78" s="181">
        <v>42</v>
      </c>
      <c r="P78" s="181">
        <v>42</v>
      </c>
      <c r="Q78" s="181">
        <v>42</v>
      </c>
      <c r="R78" s="181">
        <v>36</v>
      </c>
      <c r="S78" s="181">
        <v>36</v>
      </c>
      <c r="T78" s="181">
        <v>36</v>
      </c>
      <c r="U78" s="213">
        <f t="shared" si="10"/>
        <v>312</v>
      </c>
      <c r="V78" s="184"/>
    </row>
    <row r="79" spans="1:22" ht="12.75" x14ac:dyDescent="0.2">
      <c r="A79" s="222"/>
      <c r="B79" s="276"/>
      <c r="C79" s="279"/>
      <c r="D79" s="279"/>
      <c r="E79" s="190" t="s">
        <v>117</v>
      </c>
      <c r="F79" s="191" t="s">
        <v>153</v>
      </c>
      <c r="G79" s="191" t="s">
        <v>192</v>
      </c>
      <c r="H79" s="191" t="s">
        <v>115</v>
      </c>
      <c r="I79" s="278">
        <v>178.6</v>
      </c>
      <c r="J79" s="278">
        <v>8</v>
      </c>
      <c r="K79" s="278">
        <v>8</v>
      </c>
      <c r="L79" s="209">
        <v>30</v>
      </c>
      <c r="M79" s="183">
        <v>12</v>
      </c>
      <c r="N79" s="183">
        <v>12</v>
      </c>
      <c r="O79" s="183">
        <v>12</v>
      </c>
      <c r="P79" s="183">
        <v>12</v>
      </c>
      <c r="Q79" s="183">
        <v>12</v>
      </c>
      <c r="R79" s="183">
        <v>12</v>
      </c>
      <c r="S79" s="183">
        <v>12</v>
      </c>
      <c r="T79" s="183">
        <v>12</v>
      </c>
      <c r="U79" s="210">
        <f>SUM(M79:T79)</f>
        <v>96</v>
      </c>
      <c r="V79" s="184"/>
    </row>
    <row r="80" spans="1:22" ht="12.75" x14ac:dyDescent="0.2">
      <c r="A80" s="222"/>
      <c r="B80" s="276"/>
      <c r="C80" s="279"/>
      <c r="D80" s="279"/>
      <c r="E80" s="190" t="s">
        <v>117</v>
      </c>
      <c r="F80" s="191" t="s">
        <v>154</v>
      </c>
      <c r="G80" s="191" t="s">
        <v>194</v>
      </c>
      <c r="H80" s="191" t="s">
        <v>115</v>
      </c>
      <c r="I80" s="292"/>
      <c r="J80" s="279"/>
      <c r="K80" s="279"/>
      <c r="L80" s="209">
        <v>30</v>
      </c>
      <c r="M80" s="183">
        <v>16</v>
      </c>
      <c r="N80" s="183">
        <v>18</v>
      </c>
      <c r="O80" s="183">
        <v>12</v>
      </c>
      <c r="P80" s="183">
        <v>12</v>
      </c>
      <c r="Q80" s="183">
        <v>12</v>
      </c>
      <c r="R80" s="183">
        <v>12</v>
      </c>
      <c r="S80" s="183">
        <v>12</v>
      </c>
      <c r="T80" s="183">
        <v>12</v>
      </c>
      <c r="U80" s="210">
        <f>SUM(M80:T80)</f>
        <v>106</v>
      </c>
      <c r="V80" s="184"/>
    </row>
    <row r="81" spans="1:22" ht="12.75" x14ac:dyDescent="0.2">
      <c r="A81" s="222"/>
      <c r="B81" s="276"/>
      <c r="C81" s="279"/>
      <c r="D81" s="279"/>
      <c r="E81" s="190" t="s">
        <v>117</v>
      </c>
      <c r="F81" s="191" t="s">
        <v>155</v>
      </c>
      <c r="G81" s="191" t="s">
        <v>193</v>
      </c>
      <c r="H81" s="191" t="s">
        <v>115</v>
      </c>
      <c r="I81" s="292"/>
      <c r="J81" s="279"/>
      <c r="K81" s="279"/>
      <c r="L81" s="209">
        <v>30</v>
      </c>
      <c r="M81" s="183">
        <v>18</v>
      </c>
      <c r="N81" s="183">
        <v>12</v>
      </c>
      <c r="O81" s="183">
        <v>12</v>
      </c>
      <c r="P81" s="183">
        <v>12</v>
      </c>
      <c r="Q81" s="183">
        <v>12</v>
      </c>
      <c r="R81" s="183">
        <v>12</v>
      </c>
      <c r="S81" s="183">
        <v>12</v>
      </c>
      <c r="T81" s="183">
        <v>6</v>
      </c>
      <c r="U81" s="210">
        <f>SUM(M81:T81)</f>
        <v>96</v>
      </c>
      <c r="V81" s="184"/>
    </row>
    <row r="82" spans="1:22" ht="12.75" x14ac:dyDescent="0.2">
      <c r="A82" s="222"/>
      <c r="B82" s="276"/>
      <c r="C82" s="279"/>
      <c r="D82" s="279"/>
      <c r="E82" s="190" t="s">
        <v>117</v>
      </c>
      <c r="F82" s="191" t="s">
        <v>156</v>
      </c>
      <c r="G82" s="191" t="s">
        <v>192</v>
      </c>
      <c r="H82" s="191" t="s">
        <v>115</v>
      </c>
      <c r="I82" s="291"/>
      <c r="J82" s="281"/>
      <c r="K82" s="281"/>
      <c r="L82" s="209">
        <v>30</v>
      </c>
      <c r="M82" s="183">
        <v>12</v>
      </c>
      <c r="N82" s="183">
        <v>12</v>
      </c>
      <c r="O82" s="183">
        <v>12</v>
      </c>
      <c r="P82" s="183">
        <v>12</v>
      </c>
      <c r="Q82" s="183">
        <v>12</v>
      </c>
      <c r="R82" s="183">
        <v>12</v>
      </c>
      <c r="S82" s="183">
        <v>12</v>
      </c>
      <c r="T82" s="183">
        <v>18</v>
      </c>
      <c r="U82" s="210">
        <f>SUM(M82:T82)</f>
        <v>102</v>
      </c>
      <c r="V82" s="184"/>
    </row>
    <row r="83" spans="1:22" ht="12.75" x14ac:dyDescent="0.2">
      <c r="A83" s="222"/>
      <c r="B83" s="276"/>
      <c r="C83" s="279"/>
      <c r="D83" s="279"/>
      <c r="E83" s="195" t="s">
        <v>110</v>
      </c>
      <c r="F83" s="199"/>
      <c r="G83" s="199"/>
      <c r="H83" s="196"/>
      <c r="I83" s="196"/>
      <c r="J83" s="196"/>
      <c r="K83" s="196"/>
      <c r="L83" s="211">
        <f t="shared" ref="L83" si="11">SUM(L79:L82)</f>
        <v>120</v>
      </c>
      <c r="M83" s="181">
        <v>58</v>
      </c>
      <c r="N83" s="181">
        <v>54</v>
      </c>
      <c r="O83" s="181">
        <v>48</v>
      </c>
      <c r="P83" s="181">
        <v>48</v>
      </c>
      <c r="Q83" s="181">
        <v>48</v>
      </c>
      <c r="R83" s="181">
        <v>48</v>
      </c>
      <c r="S83" s="181">
        <v>48</v>
      </c>
      <c r="T83" s="181">
        <v>48</v>
      </c>
      <c r="U83" s="213">
        <f>SUM(M83:T83)</f>
        <v>400</v>
      </c>
      <c r="V83" s="184"/>
    </row>
    <row r="84" spans="1:22" ht="12.75" x14ac:dyDescent="0.2">
      <c r="A84" s="222"/>
      <c r="B84" s="276"/>
      <c r="C84" s="279"/>
      <c r="D84" s="279"/>
      <c r="E84" s="283" t="s">
        <v>118</v>
      </c>
      <c r="F84" s="284"/>
      <c r="G84" s="284"/>
      <c r="H84" s="285"/>
      <c r="I84" s="192"/>
      <c r="J84" s="278">
        <v>8</v>
      </c>
      <c r="K84" s="289">
        <v>0</v>
      </c>
      <c r="L84" s="191"/>
      <c r="M84" s="216"/>
      <c r="N84" s="216"/>
      <c r="O84" s="216"/>
      <c r="P84" s="216"/>
      <c r="Q84" s="216"/>
      <c r="R84" s="216"/>
      <c r="S84" s="216"/>
      <c r="T84" s="216"/>
      <c r="U84" s="200"/>
      <c r="V84" s="184"/>
    </row>
    <row r="85" spans="1:22" ht="13.5" thickBot="1" x14ac:dyDescent="0.25">
      <c r="A85" s="222"/>
      <c r="B85" s="277"/>
      <c r="C85" s="280"/>
      <c r="D85" s="280"/>
      <c r="E85" s="286"/>
      <c r="F85" s="287"/>
      <c r="G85" s="287"/>
      <c r="H85" s="288"/>
      <c r="I85" s="201"/>
      <c r="J85" s="280"/>
      <c r="K85" s="280"/>
      <c r="L85" s="202"/>
      <c r="M85" s="217"/>
      <c r="N85" s="217"/>
      <c r="O85" s="217"/>
      <c r="P85" s="217"/>
      <c r="Q85" s="217"/>
      <c r="R85" s="217"/>
      <c r="S85" s="217"/>
      <c r="T85" s="217"/>
      <c r="U85" s="218"/>
      <c r="V85" s="184"/>
    </row>
    <row r="86" spans="1:22" ht="14.25" thickTop="1" thickBot="1" x14ac:dyDescent="0.25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5"/>
      <c r="V86" s="184"/>
    </row>
    <row r="87" spans="1:22" ht="14.25" thickTop="1" thickBot="1" x14ac:dyDescent="0.25">
      <c r="A87" s="184"/>
      <c r="B87" s="184"/>
      <c r="C87" s="184"/>
      <c r="D87" s="184"/>
      <c r="E87" s="290" t="s">
        <v>119</v>
      </c>
      <c r="F87" s="267"/>
      <c r="G87" s="267"/>
      <c r="H87" s="267"/>
      <c r="I87" s="267"/>
      <c r="J87" s="267"/>
      <c r="K87" s="267"/>
      <c r="L87" s="267"/>
      <c r="M87" s="267"/>
      <c r="N87" s="267"/>
      <c r="O87" s="267"/>
      <c r="P87" s="267"/>
      <c r="Q87" s="267"/>
      <c r="R87" s="267"/>
      <c r="S87" s="267"/>
      <c r="T87" s="268"/>
      <c r="U87" s="185"/>
      <c r="V87" s="184"/>
    </row>
    <row r="88" spans="1:22" ht="14.25" thickTop="1" thickBot="1" x14ac:dyDescent="0.25">
      <c r="A88" s="184"/>
      <c r="B88" s="184"/>
      <c r="C88" s="184"/>
      <c r="D88" s="184"/>
      <c r="E88" s="271" t="s">
        <v>157</v>
      </c>
      <c r="F88" s="205" t="s">
        <v>120</v>
      </c>
      <c r="G88" s="206"/>
      <c r="H88" s="270"/>
      <c r="I88" s="267"/>
      <c r="J88" s="267"/>
      <c r="K88" s="267"/>
      <c r="L88" s="267"/>
      <c r="M88" s="267"/>
      <c r="N88" s="267"/>
      <c r="O88" s="267"/>
      <c r="P88" s="267"/>
      <c r="Q88" s="267"/>
      <c r="R88" s="267"/>
      <c r="S88" s="267"/>
      <c r="T88" s="268"/>
      <c r="U88" s="185"/>
      <c r="V88" s="184"/>
    </row>
    <row r="89" spans="1:22" ht="14.25" thickTop="1" thickBot="1" x14ac:dyDescent="0.25">
      <c r="A89" s="184"/>
      <c r="B89" s="184"/>
      <c r="C89" s="184"/>
      <c r="D89" s="184"/>
      <c r="E89" s="272"/>
      <c r="F89" s="205" t="s">
        <v>121</v>
      </c>
      <c r="G89" s="206"/>
      <c r="H89" s="270"/>
      <c r="I89" s="267"/>
      <c r="J89" s="267"/>
      <c r="K89" s="267"/>
      <c r="L89" s="267"/>
      <c r="M89" s="267"/>
      <c r="N89" s="267"/>
      <c r="O89" s="267"/>
      <c r="P89" s="267"/>
      <c r="Q89" s="267"/>
      <c r="R89" s="267"/>
      <c r="S89" s="267"/>
      <c r="T89" s="268"/>
      <c r="U89" s="185"/>
      <c r="V89" s="184"/>
    </row>
    <row r="90" spans="1:22" ht="14.25" thickTop="1" thickBot="1" x14ac:dyDescent="0.25">
      <c r="A90" s="184"/>
      <c r="B90" s="184"/>
      <c r="C90" s="184"/>
      <c r="D90" s="184"/>
      <c r="E90" s="272"/>
      <c r="F90" s="205" t="s">
        <v>122</v>
      </c>
      <c r="G90" s="206"/>
      <c r="H90" s="270"/>
      <c r="I90" s="267"/>
      <c r="J90" s="267"/>
      <c r="K90" s="267"/>
      <c r="L90" s="267"/>
      <c r="M90" s="267"/>
      <c r="N90" s="267"/>
      <c r="O90" s="267"/>
      <c r="P90" s="267"/>
      <c r="Q90" s="267"/>
      <c r="R90" s="267"/>
      <c r="S90" s="267"/>
      <c r="T90" s="268"/>
      <c r="U90" s="185"/>
      <c r="V90" s="184"/>
    </row>
    <row r="91" spans="1:22" ht="14.25" thickTop="1" thickBot="1" x14ac:dyDescent="0.25">
      <c r="A91" s="184"/>
      <c r="B91" s="184"/>
      <c r="C91" s="184"/>
      <c r="D91" s="184"/>
      <c r="E91" s="272"/>
      <c r="F91" s="205" t="s">
        <v>123</v>
      </c>
      <c r="G91" s="206"/>
      <c r="H91" s="270"/>
      <c r="I91" s="267"/>
      <c r="J91" s="267"/>
      <c r="K91" s="267"/>
      <c r="L91" s="267"/>
      <c r="M91" s="267"/>
      <c r="N91" s="267"/>
      <c r="O91" s="267"/>
      <c r="P91" s="267"/>
      <c r="Q91" s="267"/>
      <c r="R91" s="267"/>
      <c r="S91" s="267"/>
      <c r="T91" s="268"/>
      <c r="U91" s="185"/>
      <c r="V91" s="184"/>
    </row>
    <row r="92" spans="1:22" ht="14.25" thickTop="1" thickBot="1" x14ac:dyDescent="0.25">
      <c r="A92" s="184"/>
      <c r="B92" s="184"/>
      <c r="C92" s="184"/>
      <c r="D92" s="184"/>
      <c r="E92" s="272"/>
      <c r="F92" s="205" t="s">
        <v>124</v>
      </c>
      <c r="G92" s="206"/>
      <c r="H92" s="270"/>
      <c r="I92" s="267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8"/>
      <c r="U92" s="185"/>
      <c r="V92" s="184"/>
    </row>
    <row r="93" spans="1:22" ht="14.25" thickTop="1" thickBot="1" x14ac:dyDescent="0.25">
      <c r="A93" s="184"/>
      <c r="B93" s="184"/>
      <c r="C93" s="184"/>
      <c r="D93" s="184"/>
      <c r="E93" s="272"/>
      <c r="F93" s="206" t="s">
        <v>125</v>
      </c>
      <c r="G93" s="206"/>
      <c r="H93" s="270"/>
      <c r="I93" s="267"/>
      <c r="J93" s="267"/>
      <c r="K93" s="267"/>
      <c r="L93" s="267"/>
      <c r="M93" s="267"/>
      <c r="N93" s="267"/>
      <c r="O93" s="267"/>
      <c r="P93" s="267"/>
      <c r="Q93" s="267"/>
      <c r="R93" s="267"/>
      <c r="S93" s="267"/>
      <c r="T93" s="268"/>
      <c r="U93" s="185"/>
      <c r="V93" s="184"/>
    </row>
    <row r="94" spans="1:22" ht="14.25" thickTop="1" thickBot="1" x14ac:dyDescent="0.25">
      <c r="A94" s="184"/>
      <c r="B94" s="184"/>
      <c r="C94" s="184"/>
      <c r="D94" s="184"/>
      <c r="E94" s="273"/>
      <c r="F94" s="205" t="s">
        <v>126</v>
      </c>
      <c r="G94" s="206"/>
      <c r="H94" s="270"/>
      <c r="I94" s="267"/>
      <c r="J94" s="267"/>
      <c r="K94" s="267"/>
      <c r="L94" s="267"/>
      <c r="M94" s="267"/>
      <c r="N94" s="267"/>
      <c r="O94" s="267"/>
      <c r="P94" s="267"/>
      <c r="Q94" s="267"/>
      <c r="R94" s="267"/>
      <c r="S94" s="267"/>
      <c r="T94" s="268"/>
      <c r="U94" s="185"/>
      <c r="V94" s="184"/>
    </row>
    <row r="95" spans="1:22" ht="14.25" thickTop="1" thickBot="1" x14ac:dyDescent="0.25">
      <c r="A95" s="184"/>
      <c r="B95" s="184"/>
      <c r="C95" s="184"/>
      <c r="D95" s="184"/>
      <c r="E95" s="207" t="s">
        <v>158</v>
      </c>
      <c r="F95" s="205" t="s">
        <v>128</v>
      </c>
      <c r="G95" s="206"/>
      <c r="H95" s="270"/>
      <c r="I95" s="267"/>
      <c r="J95" s="267"/>
      <c r="K95" s="267"/>
      <c r="L95" s="267"/>
      <c r="M95" s="267"/>
      <c r="N95" s="267"/>
      <c r="O95" s="267"/>
      <c r="P95" s="267"/>
      <c r="Q95" s="267"/>
      <c r="R95" s="267"/>
      <c r="S95" s="267"/>
      <c r="T95" s="268"/>
      <c r="U95" s="185"/>
      <c r="V95" s="184"/>
    </row>
    <row r="96" spans="1:22" ht="13.5" thickTop="1" x14ac:dyDescent="0.2">
      <c r="A96" s="184"/>
      <c r="B96" s="184"/>
      <c r="C96" s="184"/>
      <c r="D96" s="184"/>
      <c r="E96" s="184"/>
      <c r="F96" s="184"/>
      <c r="G96" s="184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4"/>
    </row>
    <row r="97" spans="1:22" ht="12.75" x14ac:dyDescent="0.2">
      <c r="A97" s="184"/>
      <c r="B97" s="184"/>
      <c r="C97" s="184"/>
      <c r="D97" s="184"/>
      <c r="E97" s="184"/>
      <c r="F97" s="184"/>
      <c r="G97" s="184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4"/>
    </row>
    <row r="98" spans="1:22" ht="13.5" thickBot="1" x14ac:dyDescent="0.25">
      <c r="A98" s="184"/>
      <c r="B98" s="184"/>
      <c r="C98" s="184"/>
      <c r="D98" s="184"/>
      <c r="E98" s="184"/>
      <c r="F98" s="184"/>
      <c r="G98" s="184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4"/>
    </row>
    <row r="99" spans="1:22" ht="13.5" thickTop="1" x14ac:dyDescent="0.2">
      <c r="A99" s="219"/>
      <c r="B99" s="186" t="s">
        <v>95</v>
      </c>
      <c r="C99" s="187" t="s">
        <v>30</v>
      </c>
      <c r="D99" s="187" t="s">
        <v>96</v>
      </c>
      <c r="E99" s="187" t="s">
        <v>97</v>
      </c>
      <c r="F99" s="187" t="s">
        <v>98</v>
      </c>
      <c r="G99" s="187"/>
      <c r="H99" s="187" t="s">
        <v>99</v>
      </c>
      <c r="I99" s="187" t="s">
        <v>100</v>
      </c>
      <c r="J99" s="187" t="s">
        <v>79</v>
      </c>
      <c r="K99" s="187" t="s">
        <v>80</v>
      </c>
      <c r="L99" s="187" t="s">
        <v>101</v>
      </c>
      <c r="M99" s="208" t="s">
        <v>102</v>
      </c>
      <c r="N99" s="208" t="s">
        <v>103</v>
      </c>
      <c r="O99" s="208" t="s">
        <v>104</v>
      </c>
      <c r="P99" s="208" t="s">
        <v>105</v>
      </c>
      <c r="Q99" s="208" t="s">
        <v>106</v>
      </c>
      <c r="R99" s="208" t="s">
        <v>107</v>
      </c>
      <c r="S99" s="208" t="s">
        <v>108</v>
      </c>
      <c r="T99" s="208" t="s">
        <v>109</v>
      </c>
      <c r="U99" s="189" t="s">
        <v>110</v>
      </c>
      <c r="V99" s="185"/>
    </row>
    <row r="100" spans="1:22" ht="12.75" x14ac:dyDescent="0.2">
      <c r="A100" s="220"/>
      <c r="B100" s="275">
        <v>46129</v>
      </c>
      <c r="C100" s="278">
        <v>9</v>
      </c>
      <c r="D100" s="278" t="s">
        <v>111</v>
      </c>
      <c r="E100" s="190" t="s">
        <v>112</v>
      </c>
      <c r="F100" s="191" t="s">
        <v>159</v>
      </c>
      <c r="G100" s="191"/>
      <c r="H100" s="191" t="s">
        <v>113</v>
      </c>
      <c r="I100" s="192"/>
      <c r="J100" s="192">
        <v>2</v>
      </c>
      <c r="K100" s="192">
        <v>2</v>
      </c>
      <c r="L100" s="209">
        <v>120</v>
      </c>
      <c r="M100" s="183">
        <v>36</v>
      </c>
      <c r="N100" s="183">
        <v>36</v>
      </c>
      <c r="O100" s="183">
        <v>36</v>
      </c>
      <c r="P100" s="183">
        <v>36</v>
      </c>
      <c r="Q100" s="183">
        <v>24</v>
      </c>
      <c r="R100" s="183">
        <v>18</v>
      </c>
      <c r="S100" s="183">
        <v>36</v>
      </c>
      <c r="T100" s="183">
        <v>30</v>
      </c>
      <c r="U100" s="210">
        <f>SUM(M100:T100)</f>
        <v>252</v>
      </c>
      <c r="V100" s="184"/>
    </row>
    <row r="101" spans="1:22" ht="12.75" x14ac:dyDescent="0.2">
      <c r="A101" s="220"/>
      <c r="B101" s="276"/>
      <c r="C101" s="279"/>
      <c r="D101" s="279"/>
      <c r="E101" s="195" t="s">
        <v>110</v>
      </c>
      <c r="F101" s="196"/>
      <c r="G101" s="196"/>
      <c r="H101" s="196"/>
      <c r="I101" s="196"/>
      <c r="J101" s="196"/>
      <c r="K101" s="196"/>
      <c r="L101" s="211">
        <f t="shared" ref="L101:U101" si="12">SUM(L100)</f>
        <v>120</v>
      </c>
      <c r="M101" s="181">
        <v>36</v>
      </c>
      <c r="N101" s="181">
        <v>36</v>
      </c>
      <c r="O101" s="181">
        <v>36</v>
      </c>
      <c r="P101" s="181">
        <v>36</v>
      </c>
      <c r="Q101" s="181">
        <v>24</v>
      </c>
      <c r="R101" s="181">
        <v>18</v>
      </c>
      <c r="S101" s="181">
        <v>36</v>
      </c>
      <c r="T101" s="181">
        <v>30</v>
      </c>
      <c r="U101" s="213">
        <f t="shared" si="12"/>
        <v>252</v>
      </c>
      <c r="V101" s="184"/>
    </row>
    <row r="102" spans="1:22" ht="12.75" x14ac:dyDescent="0.2">
      <c r="A102" s="220"/>
      <c r="B102" s="276"/>
      <c r="C102" s="279"/>
      <c r="D102" s="279"/>
      <c r="E102" s="190" t="s">
        <v>114</v>
      </c>
      <c r="F102" s="191" t="s">
        <v>160</v>
      </c>
      <c r="G102" s="191"/>
      <c r="H102" s="191" t="s">
        <v>115</v>
      </c>
      <c r="I102" s="192"/>
      <c r="J102" s="278">
        <v>6</v>
      </c>
      <c r="K102" s="282">
        <v>6</v>
      </c>
      <c r="L102" s="209">
        <v>40</v>
      </c>
      <c r="M102" s="183">
        <v>12</v>
      </c>
      <c r="N102" s="183">
        <v>12</v>
      </c>
      <c r="O102" s="183" t="s">
        <v>183</v>
      </c>
      <c r="P102" s="183">
        <v>12</v>
      </c>
      <c r="Q102" s="183">
        <v>12</v>
      </c>
      <c r="R102" s="183">
        <v>12</v>
      </c>
      <c r="S102" s="183">
        <v>12</v>
      </c>
      <c r="T102" s="183">
        <v>12</v>
      </c>
      <c r="U102" s="210">
        <f>SUM(M102:T102)</f>
        <v>84</v>
      </c>
      <c r="V102" s="184"/>
    </row>
    <row r="103" spans="1:22" ht="12.75" x14ac:dyDescent="0.2">
      <c r="A103" s="220"/>
      <c r="B103" s="276"/>
      <c r="C103" s="279"/>
      <c r="D103" s="279"/>
      <c r="E103" s="190" t="s">
        <v>114</v>
      </c>
      <c r="F103" s="191" t="s">
        <v>161</v>
      </c>
      <c r="G103" s="191"/>
      <c r="H103" s="191" t="s">
        <v>115</v>
      </c>
      <c r="I103" s="192"/>
      <c r="J103" s="279"/>
      <c r="K103" s="279"/>
      <c r="L103" s="209">
        <v>40</v>
      </c>
      <c r="M103" s="183">
        <v>12</v>
      </c>
      <c r="N103" s="183">
        <v>18</v>
      </c>
      <c r="O103" s="183">
        <v>18</v>
      </c>
      <c r="P103" s="183">
        <v>12</v>
      </c>
      <c r="Q103" s="183">
        <v>12</v>
      </c>
      <c r="R103" s="183">
        <v>18</v>
      </c>
      <c r="S103" s="183">
        <v>12</v>
      </c>
      <c r="T103" s="183">
        <v>6</v>
      </c>
      <c r="U103" s="210">
        <f>SUM(M103:T103)</f>
        <v>108</v>
      </c>
      <c r="V103" s="184"/>
    </row>
    <row r="104" spans="1:22" ht="12.75" x14ac:dyDescent="0.2">
      <c r="A104" s="220"/>
      <c r="B104" s="276"/>
      <c r="C104" s="279"/>
      <c r="D104" s="279"/>
      <c r="E104" s="190" t="s">
        <v>114</v>
      </c>
      <c r="F104" s="191" t="s">
        <v>162</v>
      </c>
      <c r="G104" s="191"/>
      <c r="H104" s="191" t="s">
        <v>115</v>
      </c>
      <c r="I104" s="192"/>
      <c r="J104" s="281"/>
      <c r="K104" s="281"/>
      <c r="L104" s="209">
        <v>40</v>
      </c>
      <c r="M104" s="183">
        <v>12</v>
      </c>
      <c r="N104" s="183">
        <v>12</v>
      </c>
      <c r="O104" s="183">
        <v>12</v>
      </c>
      <c r="P104" s="183">
        <v>6</v>
      </c>
      <c r="Q104" s="183">
        <v>6</v>
      </c>
      <c r="R104" s="183">
        <v>12</v>
      </c>
      <c r="S104" s="183">
        <v>6</v>
      </c>
      <c r="T104" s="183" t="s">
        <v>183</v>
      </c>
      <c r="U104" s="210">
        <f>SUM(M104:T104)</f>
        <v>66</v>
      </c>
      <c r="V104" s="184"/>
    </row>
    <row r="105" spans="1:22" ht="12.75" x14ac:dyDescent="0.2">
      <c r="A105" s="220"/>
      <c r="B105" s="276"/>
      <c r="C105" s="279"/>
      <c r="D105" s="279"/>
      <c r="E105" s="195" t="s">
        <v>110</v>
      </c>
      <c r="F105" s="196"/>
      <c r="G105" s="196"/>
      <c r="H105" s="196"/>
      <c r="I105" s="196"/>
      <c r="J105" s="196"/>
      <c r="K105" s="196"/>
      <c r="L105" s="211">
        <f t="shared" ref="L105" si="13">SUM(L102:L104)</f>
        <v>120</v>
      </c>
      <c r="M105" s="181">
        <v>36</v>
      </c>
      <c r="N105" s="181">
        <v>42</v>
      </c>
      <c r="O105" s="181">
        <v>30</v>
      </c>
      <c r="P105" s="181">
        <v>30</v>
      </c>
      <c r="Q105" s="181">
        <v>30</v>
      </c>
      <c r="R105" s="181">
        <v>42</v>
      </c>
      <c r="S105" s="181">
        <v>30</v>
      </c>
      <c r="T105" s="181">
        <v>18</v>
      </c>
      <c r="U105" s="213">
        <f>SUM(U102:U104)</f>
        <v>258</v>
      </c>
      <c r="V105" s="184"/>
    </row>
    <row r="106" spans="1:22" ht="12.75" x14ac:dyDescent="0.2">
      <c r="A106" s="220"/>
      <c r="B106" s="276"/>
      <c r="C106" s="279"/>
      <c r="D106" s="279"/>
      <c r="E106" s="190" t="s">
        <v>116</v>
      </c>
      <c r="F106" s="191" t="s">
        <v>163</v>
      </c>
      <c r="G106" s="191"/>
      <c r="H106" s="191" t="s">
        <v>115</v>
      </c>
      <c r="I106" s="192"/>
      <c r="J106" s="278">
        <v>6</v>
      </c>
      <c r="K106" s="278">
        <v>6</v>
      </c>
      <c r="L106" s="209">
        <v>40</v>
      </c>
      <c r="M106" s="183">
        <v>12</v>
      </c>
      <c r="N106" s="183">
        <v>12</v>
      </c>
      <c r="O106" s="183">
        <v>12</v>
      </c>
      <c r="P106" s="183" t="s">
        <v>183</v>
      </c>
      <c r="Q106" s="183">
        <v>12</v>
      </c>
      <c r="R106" s="183">
        <v>6</v>
      </c>
      <c r="S106" s="183">
        <v>12</v>
      </c>
      <c r="T106" s="183">
        <v>6</v>
      </c>
      <c r="U106" s="210">
        <f>SUM(M106:T106)</f>
        <v>72</v>
      </c>
      <c r="V106" s="184"/>
    </row>
    <row r="107" spans="1:22" ht="12.75" x14ac:dyDescent="0.2">
      <c r="A107" s="220"/>
      <c r="B107" s="276"/>
      <c r="C107" s="279"/>
      <c r="D107" s="279"/>
      <c r="E107" s="190" t="s">
        <v>116</v>
      </c>
      <c r="F107" s="191" t="s">
        <v>164</v>
      </c>
      <c r="G107" s="191"/>
      <c r="H107" s="191" t="s">
        <v>115</v>
      </c>
      <c r="I107" s="192"/>
      <c r="J107" s="279"/>
      <c r="K107" s="279"/>
      <c r="L107" s="209">
        <v>40</v>
      </c>
      <c r="M107" s="183">
        <v>12</v>
      </c>
      <c r="N107" s="183">
        <v>12</v>
      </c>
      <c r="O107" s="183">
        <v>12</v>
      </c>
      <c r="P107" s="183">
        <v>12</v>
      </c>
      <c r="Q107" s="183">
        <v>12</v>
      </c>
      <c r="R107" s="183">
        <v>12</v>
      </c>
      <c r="S107" s="183">
        <v>12</v>
      </c>
      <c r="T107" s="183">
        <v>12</v>
      </c>
      <c r="U107" s="210">
        <f>SUM(M107:T107)</f>
        <v>96</v>
      </c>
      <c r="V107" s="184"/>
    </row>
    <row r="108" spans="1:22" ht="12.75" x14ac:dyDescent="0.2">
      <c r="A108" s="220"/>
      <c r="B108" s="276"/>
      <c r="C108" s="279"/>
      <c r="D108" s="279"/>
      <c r="E108" s="190" t="s">
        <v>116</v>
      </c>
      <c r="F108" s="191" t="s">
        <v>165</v>
      </c>
      <c r="G108" s="191"/>
      <c r="H108" s="191" t="s">
        <v>115</v>
      </c>
      <c r="I108" s="192"/>
      <c r="J108" s="281"/>
      <c r="K108" s="281"/>
      <c r="L108" s="209">
        <v>40</v>
      </c>
      <c r="M108" s="183">
        <v>6</v>
      </c>
      <c r="N108" s="183" t="s">
        <v>183</v>
      </c>
      <c r="O108" s="183">
        <v>12</v>
      </c>
      <c r="P108" s="183">
        <v>12</v>
      </c>
      <c r="Q108" s="183" t="s">
        <v>183</v>
      </c>
      <c r="R108" s="183" t="s">
        <v>183</v>
      </c>
      <c r="S108" s="183">
        <v>18</v>
      </c>
      <c r="T108" s="183">
        <v>12</v>
      </c>
      <c r="U108" s="210">
        <f>SUM(M108:T108)</f>
        <v>60</v>
      </c>
      <c r="V108" s="184"/>
    </row>
    <row r="109" spans="1:22" ht="12.75" x14ac:dyDescent="0.2">
      <c r="A109" s="220"/>
      <c r="B109" s="276"/>
      <c r="C109" s="279"/>
      <c r="D109" s="279"/>
      <c r="E109" s="195" t="s">
        <v>110</v>
      </c>
      <c r="F109" s="196"/>
      <c r="G109" s="196"/>
      <c r="H109" s="196"/>
      <c r="I109" s="196"/>
      <c r="J109" s="196"/>
      <c r="K109" s="196"/>
      <c r="L109" s="211">
        <f t="shared" ref="L109" si="14">SUM(L106:L108)</f>
        <v>120</v>
      </c>
      <c r="M109" s="181">
        <v>30</v>
      </c>
      <c r="N109" s="181">
        <v>24</v>
      </c>
      <c r="O109" s="181">
        <v>36</v>
      </c>
      <c r="P109" s="181">
        <v>24</v>
      </c>
      <c r="Q109" s="181">
        <v>24</v>
      </c>
      <c r="R109" s="181">
        <v>18</v>
      </c>
      <c r="S109" s="181">
        <v>42</v>
      </c>
      <c r="T109" s="181">
        <v>30</v>
      </c>
      <c r="U109" s="213">
        <f>SUM(U106:U108)</f>
        <v>228</v>
      </c>
      <c r="V109" s="184"/>
    </row>
    <row r="110" spans="1:22" ht="12.75" x14ac:dyDescent="0.2">
      <c r="A110" s="220"/>
      <c r="B110" s="276"/>
      <c r="C110" s="279"/>
      <c r="D110" s="279"/>
      <c r="E110" s="190" t="s">
        <v>117</v>
      </c>
      <c r="F110" s="191" t="s">
        <v>166</v>
      </c>
      <c r="G110" s="191"/>
      <c r="H110" s="191" t="s">
        <v>115</v>
      </c>
      <c r="I110" s="192"/>
      <c r="J110" s="278">
        <v>8</v>
      </c>
      <c r="K110" s="278">
        <v>8</v>
      </c>
      <c r="L110" s="209">
        <v>30</v>
      </c>
      <c r="M110" s="183">
        <v>12</v>
      </c>
      <c r="N110" s="183">
        <v>12</v>
      </c>
      <c r="O110" s="183">
        <v>12</v>
      </c>
      <c r="P110" s="183">
        <v>12</v>
      </c>
      <c r="Q110" s="183">
        <v>12</v>
      </c>
      <c r="R110" s="183">
        <v>12</v>
      </c>
      <c r="S110" s="183">
        <v>12</v>
      </c>
      <c r="T110" s="183">
        <v>18</v>
      </c>
      <c r="U110" s="210">
        <f>SUM(M110:T110)</f>
        <v>102</v>
      </c>
      <c r="V110" s="184"/>
    </row>
    <row r="111" spans="1:22" ht="12.75" x14ac:dyDescent="0.2">
      <c r="A111" s="220"/>
      <c r="B111" s="276"/>
      <c r="C111" s="279"/>
      <c r="D111" s="279"/>
      <c r="E111" s="190" t="s">
        <v>117</v>
      </c>
      <c r="F111" s="191" t="s">
        <v>167</v>
      </c>
      <c r="G111" s="191"/>
      <c r="H111" s="191" t="s">
        <v>115</v>
      </c>
      <c r="I111" s="192"/>
      <c r="J111" s="279"/>
      <c r="K111" s="279"/>
      <c r="L111" s="209">
        <v>30</v>
      </c>
      <c r="M111" s="183">
        <v>12</v>
      </c>
      <c r="N111" s="183">
        <v>12</v>
      </c>
      <c r="O111" s="183">
        <v>12</v>
      </c>
      <c r="P111" s="183">
        <v>6</v>
      </c>
      <c r="Q111" s="183">
        <v>12</v>
      </c>
      <c r="R111" s="183">
        <v>12</v>
      </c>
      <c r="S111" s="183">
        <v>6</v>
      </c>
      <c r="T111" s="183">
        <v>10</v>
      </c>
      <c r="U111" s="210">
        <f>SUM(M111:T111)</f>
        <v>82</v>
      </c>
      <c r="V111" s="184"/>
    </row>
    <row r="112" spans="1:22" ht="12.75" x14ac:dyDescent="0.2">
      <c r="A112" s="220"/>
      <c r="B112" s="276"/>
      <c r="C112" s="279"/>
      <c r="D112" s="279"/>
      <c r="E112" s="190" t="s">
        <v>117</v>
      </c>
      <c r="F112" s="191" t="s">
        <v>168</v>
      </c>
      <c r="G112" s="191"/>
      <c r="H112" s="191" t="s">
        <v>115</v>
      </c>
      <c r="I112" s="192"/>
      <c r="J112" s="279"/>
      <c r="K112" s="279"/>
      <c r="L112" s="209">
        <v>30</v>
      </c>
      <c r="M112" s="183">
        <v>12</v>
      </c>
      <c r="N112" s="183">
        <v>12</v>
      </c>
      <c r="O112" s="183">
        <v>6</v>
      </c>
      <c r="P112" s="183" t="s">
        <v>183</v>
      </c>
      <c r="Q112" s="183">
        <v>6</v>
      </c>
      <c r="R112" s="183">
        <v>6</v>
      </c>
      <c r="S112" s="183">
        <v>6</v>
      </c>
      <c r="T112" s="183">
        <v>6</v>
      </c>
      <c r="U112" s="210">
        <f>SUM(M112:T112)</f>
        <v>54</v>
      </c>
      <c r="V112" s="184"/>
    </row>
    <row r="113" spans="1:22" ht="12.75" x14ac:dyDescent="0.2">
      <c r="A113" s="220"/>
      <c r="B113" s="276"/>
      <c r="C113" s="279"/>
      <c r="D113" s="279"/>
      <c r="E113" s="190" t="s">
        <v>117</v>
      </c>
      <c r="F113" s="191" t="s">
        <v>169</v>
      </c>
      <c r="G113" s="191"/>
      <c r="H113" s="191" t="s">
        <v>115</v>
      </c>
      <c r="I113" s="192"/>
      <c r="J113" s="281"/>
      <c r="K113" s="281"/>
      <c r="L113" s="209">
        <v>30</v>
      </c>
      <c r="M113" s="183">
        <v>12</v>
      </c>
      <c r="N113" s="183">
        <v>12</v>
      </c>
      <c r="O113" s="183">
        <v>6</v>
      </c>
      <c r="P113" s="183" t="s">
        <v>183</v>
      </c>
      <c r="Q113" s="183">
        <v>6</v>
      </c>
      <c r="R113" s="183">
        <v>6</v>
      </c>
      <c r="S113" s="183">
        <v>12</v>
      </c>
      <c r="T113" s="183">
        <v>6</v>
      </c>
      <c r="U113" s="210">
        <f>SUM(M113:T113)</f>
        <v>60</v>
      </c>
      <c r="V113" s="184"/>
    </row>
    <row r="114" spans="1:22" ht="12.75" x14ac:dyDescent="0.2">
      <c r="A114" s="220"/>
      <c r="B114" s="276"/>
      <c r="C114" s="279"/>
      <c r="D114" s="279"/>
      <c r="E114" s="195" t="s">
        <v>110</v>
      </c>
      <c r="F114" s="199"/>
      <c r="G114" s="199"/>
      <c r="H114" s="196"/>
      <c r="I114" s="196"/>
      <c r="J114" s="196"/>
      <c r="K114" s="196"/>
      <c r="L114" s="211">
        <f t="shared" ref="L114" si="15">SUM(L110:L113)</f>
        <v>120</v>
      </c>
      <c r="M114" s="181">
        <v>48</v>
      </c>
      <c r="N114" s="181">
        <v>48</v>
      </c>
      <c r="O114" s="181">
        <v>36</v>
      </c>
      <c r="P114" s="181">
        <v>18</v>
      </c>
      <c r="Q114" s="181">
        <v>36</v>
      </c>
      <c r="R114" s="181">
        <v>36</v>
      </c>
      <c r="S114" s="181">
        <v>36</v>
      </c>
      <c r="T114" s="181">
        <v>40</v>
      </c>
      <c r="U114" s="213">
        <f>+SUM(U110:U113)</f>
        <v>298</v>
      </c>
      <c r="V114" s="184"/>
    </row>
    <row r="115" spans="1:22" ht="12.75" x14ac:dyDescent="0.2">
      <c r="A115" s="220"/>
      <c r="B115" s="276"/>
      <c r="C115" s="279"/>
      <c r="D115" s="279"/>
      <c r="E115" s="283" t="s">
        <v>118</v>
      </c>
      <c r="F115" s="284"/>
      <c r="G115" s="284"/>
      <c r="H115" s="285"/>
      <c r="I115" s="192"/>
      <c r="J115" s="278">
        <v>8</v>
      </c>
      <c r="K115" s="289">
        <v>0</v>
      </c>
      <c r="L115" s="191"/>
      <c r="M115" s="214"/>
      <c r="N115" s="214"/>
      <c r="O115" s="214"/>
      <c r="P115" s="214"/>
      <c r="Q115" s="214"/>
      <c r="R115" s="214"/>
      <c r="S115" s="214"/>
      <c r="T115" s="214"/>
      <c r="U115" s="200"/>
      <c r="V115" s="184"/>
    </row>
    <row r="116" spans="1:22" ht="13.5" thickBot="1" x14ac:dyDescent="0.25">
      <c r="A116" s="220"/>
      <c r="B116" s="277"/>
      <c r="C116" s="280"/>
      <c r="D116" s="280"/>
      <c r="E116" s="286"/>
      <c r="F116" s="287"/>
      <c r="G116" s="287"/>
      <c r="H116" s="288"/>
      <c r="I116" s="201"/>
      <c r="J116" s="280"/>
      <c r="K116" s="280"/>
      <c r="L116" s="202"/>
      <c r="M116" s="202"/>
      <c r="N116" s="202"/>
      <c r="O116" s="202"/>
      <c r="P116" s="202"/>
      <c r="Q116" s="202"/>
      <c r="R116" s="202"/>
      <c r="S116" s="202"/>
      <c r="T116" s="202"/>
      <c r="U116" s="203"/>
      <c r="V116" s="184"/>
    </row>
    <row r="117" spans="1:22" ht="14.25" thickTop="1" thickBot="1" x14ac:dyDescent="0.25">
      <c r="A117" s="221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204"/>
      <c r="N117" s="184"/>
      <c r="O117" s="184"/>
      <c r="P117" s="184"/>
      <c r="Q117" s="184"/>
      <c r="R117" s="184"/>
      <c r="S117" s="184"/>
      <c r="T117" s="184"/>
      <c r="U117" s="185"/>
      <c r="V117" s="184"/>
    </row>
    <row r="118" spans="1:22" ht="14.25" thickTop="1" thickBot="1" x14ac:dyDescent="0.25">
      <c r="A118" s="221"/>
      <c r="B118" s="184"/>
      <c r="C118" s="184"/>
      <c r="D118" s="184"/>
      <c r="E118" s="266" t="s">
        <v>119</v>
      </c>
      <c r="F118" s="267"/>
      <c r="G118" s="267"/>
      <c r="H118" s="267"/>
      <c r="I118" s="267"/>
      <c r="J118" s="267"/>
      <c r="K118" s="267"/>
      <c r="L118" s="267"/>
      <c r="M118" s="267"/>
      <c r="N118" s="267"/>
      <c r="O118" s="267"/>
      <c r="P118" s="267"/>
      <c r="Q118" s="267"/>
      <c r="R118" s="267"/>
      <c r="S118" s="267"/>
      <c r="T118" s="268"/>
      <c r="U118" s="185"/>
      <c r="V118" s="184"/>
    </row>
    <row r="119" spans="1:22" ht="14.25" thickTop="1" thickBot="1" x14ac:dyDescent="0.25">
      <c r="A119" s="221"/>
      <c r="B119" s="184"/>
      <c r="C119" s="184"/>
      <c r="D119" s="184"/>
      <c r="E119" s="271" t="s">
        <v>170</v>
      </c>
      <c r="F119" s="205" t="s">
        <v>120</v>
      </c>
      <c r="G119" s="206"/>
      <c r="H119" s="270"/>
      <c r="I119" s="267"/>
      <c r="J119" s="267"/>
      <c r="K119" s="267"/>
      <c r="L119" s="267"/>
      <c r="M119" s="267"/>
      <c r="N119" s="267"/>
      <c r="O119" s="267"/>
      <c r="P119" s="267"/>
      <c r="Q119" s="267"/>
      <c r="R119" s="267"/>
      <c r="S119" s="267"/>
      <c r="T119" s="268"/>
      <c r="U119" s="185"/>
      <c r="V119" s="184"/>
    </row>
    <row r="120" spans="1:22" ht="14.25" thickTop="1" thickBot="1" x14ac:dyDescent="0.25">
      <c r="A120" s="221"/>
      <c r="B120" s="184"/>
      <c r="C120" s="184"/>
      <c r="D120" s="184"/>
      <c r="E120" s="272"/>
      <c r="F120" s="205" t="s">
        <v>121</v>
      </c>
      <c r="G120" s="206"/>
      <c r="H120" s="270"/>
      <c r="I120" s="267"/>
      <c r="J120" s="267"/>
      <c r="K120" s="267"/>
      <c r="L120" s="267"/>
      <c r="M120" s="267"/>
      <c r="N120" s="267"/>
      <c r="O120" s="267"/>
      <c r="P120" s="267"/>
      <c r="Q120" s="267"/>
      <c r="R120" s="267"/>
      <c r="S120" s="267"/>
      <c r="T120" s="268"/>
      <c r="U120" s="185"/>
      <c r="V120" s="184"/>
    </row>
    <row r="121" spans="1:22" ht="14.25" thickTop="1" thickBot="1" x14ac:dyDescent="0.25">
      <c r="A121" s="221"/>
      <c r="B121" s="184"/>
      <c r="C121" s="184"/>
      <c r="D121" s="184"/>
      <c r="E121" s="272"/>
      <c r="F121" s="205" t="s">
        <v>122</v>
      </c>
      <c r="G121" s="206"/>
      <c r="H121" s="274"/>
      <c r="I121" s="267"/>
      <c r="J121" s="267"/>
      <c r="K121" s="267"/>
      <c r="L121" s="267"/>
      <c r="M121" s="267"/>
      <c r="N121" s="267"/>
      <c r="O121" s="267"/>
      <c r="P121" s="267"/>
      <c r="Q121" s="267"/>
      <c r="R121" s="267"/>
      <c r="S121" s="267"/>
      <c r="T121" s="268"/>
      <c r="U121" s="185"/>
      <c r="V121" s="184"/>
    </row>
    <row r="122" spans="1:22" ht="14.25" thickTop="1" thickBot="1" x14ac:dyDescent="0.25">
      <c r="A122" s="221"/>
      <c r="B122" s="184"/>
      <c r="C122" s="184"/>
      <c r="D122" s="184"/>
      <c r="E122" s="272"/>
      <c r="F122" s="205" t="s">
        <v>123</v>
      </c>
      <c r="G122" s="206"/>
      <c r="H122" s="270"/>
      <c r="I122" s="267"/>
      <c r="J122" s="267"/>
      <c r="K122" s="267"/>
      <c r="L122" s="267"/>
      <c r="M122" s="267"/>
      <c r="N122" s="267"/>
      <c r="O122" s="267"/>
      <c r="P122" s="267"/>
      <c r="Q122" s="267"/>
      <c r="R122" s="267"/>
      <c r="S122" s="267"/>
      <c r="T122" s="268"/>
      <c r="U122" s="185"/>
      <c r="V122" s="184"/>
    </row>
    <row r="123" spans="1:22" ht="14.25" thickTop="1" thickBot="1" x14ac:dyDescent="0.25">
      <c r="A123" s="221"/>
      <c r="B123" s="184"/>
      <c r="C123" s="184"/>
      <c r="D123" s="184"/>
      <c r="E123" s="272"/>
      <c r="F123" s="205" t="s">
        <v>124</v>
      </c>
      <c r="G123" s="206"/>
      <c r="H123" s="270"/>
      <c r="I123" s="267"/>
      <c r="J123" s="267"/>
      <c r="K123" s="267"/>
      <c r="L123" s="267"/>
      <c r="M123" s="267"/>
      <c r="N123" s="267"/>
      <c r="O123" s="267"/>
      <c r="P123" s="267"/>
      <c r="Q123" s="267"/>
      <c r="R123" s="267"/>
      <c r="S123" s="267"/>
      <c r="T123" s="268"/>
      <c r="U123" s="185"/>
      <c r="V123" s="184"/>
    </row>
    <row r="124" spans="1:22" ht="14.25" thickTop="1" thickBot="1" x14ac:dyDescent="0.25">
      <c r="A124" s="221"/>
      <c r="B124" s="184"/>
      <c r="C124" s="184"/>
      <c r="D124" s="184"/>
      <c r="E124" s="272"/>
      <c r="F124" s="206" t="s">
        <v>125</v>
      </c>
      <c r="G124" s="206"/>
      <c r="H124" s="269"/>
      <c r="I124" s="267"/>
      <c r="J124" s="267"/>
      <c r="K124" s="267"/>
      <c r="L124" s="267"/>
      <c r="M124" s="267"/>
      <c r="N124" s="267"/>
      <c r="O124" s="267"/>
      <c r="P124" s="267"/>
      <c r="Q124" s="267"/>
      <c r="R124" s="267"/>
      <c r="S124" s="267"/>
      <c r="T124" s="268"/>
      <c r="U124" s="185"/>
      <c r="V124" s="184"/>
    </row>
    <row r="125" spans="1:22" ht="14.25" thickTop="1" thickBot="1" x14ac:dyDescent="0.25">
      <c r="A125" s="221"/>
      <c r="B125" s="184"/>
      <c r="C125" s="184"/>
      <c r="D125" s="184"/>
      <c r="E125" s="273"/>
      <c r="F125" s="205" t="s">
        <v>126</v>
      </c>
      <c r="G125" s="206"/>
      <c r="H125" s="270"/>
      <c r="I125" s="267"/>
      <c r="J125" s="267"/>
      <c r="K125" s="267"/>
      <c r="L125" s="267"/>
      <c r="M125" s="267"/>
      <c r="N125" s="267"/>
      <c r="O125" s="267"/>
      <c r="P125" s="267"/>
      <c r="Q125" s="267"/>
      <c r="R125" s="267"/>
      <c r="S125" s="267"/>
      <c r="T125" s="268"/>
      <c r="U125" s="185"/>
      <c r="V125" s="184"/>
    </row>
    <row r="126" spans="1:22" ht="14.25" thickTop="1" thickBot="1" x14ac:dyDescent="0.25">
      <c r="A126" s="221"/>
      <c r="B126" s="184"/>
      <c r="C126" s="184"/>
      <c r="D126" s="184"/>
      <c r="E126" s="207" t="s">
        <v>127</v>
      </c>
      <c r="F126" s="205" t="s">
        <v>128</v>
      </c>
      <c r="G126" s="206"/>
      <c r="H126" s="270"/>
      <c r="I126" s="267"/>
      <c r="J126" s="267"/>
      <c r="K126" s="267"/>
      <c r="L126" s="267"/>
      <c r="M126" s="267"/>
      <c r="N126" s="267"/>
      <c r="O126" s="267"/>
      <c r="P126" s="267"/>
      <c r="Q126" s="267"/>
      <c r="R126" s="267"/>
      <c r="S126" s="267"/>
      <c r="T126" s="268"/>
      <c r="U126" s="185"/>
      <c r="V126" s="184"/>
    </row>
    <row r="127" spans="1:22" ht="13.5" thickTop="1" x14ac:dyDescent="0.2">
      <c r="A127" s="221"/>
      <c r="B127" s="184"/>
      <c r="C127" s="184"/>
      <c r="D127" s="184"/>
      <c r="E127" s="184"/>
      <c r="F127" s="184"/>
      <c r="G127" s="184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4"/>
    </row>
    <row r="128" spans="1:22" ht="12.75" x14ac:dyDescent="0.2">
      <c r="A128" s="221"/>
      <c r="B128" s="184"/>
      <c r="C128" s="184"/>
      <c r="D128" s="184"/>
      <c r="E128" s="184"/>
      <c r="F128" s="184"/>
      <c r="G128" s="184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4"/>
    </row>
    <row r="129" spans="1:22" ht="13.5" thickBot="1" x14ac:dyDescent="0.25">
      <c r="A129" s="184"/>
      <c r="B129" s="184"/>
      <c r="C129" s="184"/>
      <c r="D129" s="184"/>
      <c r="E129" s="184"/>
      <c r="F129" s="184"/>
      <c r="G129" s="184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4"/>
    </row>
    <row r="130" spans="1:22" ht="13.5" thickTop="1" x14ac:dyDescent="0.2">
      <c r="A130" s="219"/>
      <c r="B130" s="186" t="s">
        <v>95</v>
      </c>
      <c r="C130" s="187" t="s">
        <v>30</v>
      </c>
      <c r="D130" s="187" t="s">
        <v>96</v>
      </c>
      <c r="E130" s="187" t="s">
        <v>97</v>
      </c>
      <c r="F130" s="187" t="s">
        <v>98</v>
      </c>
      <c r="G130" s="187"/>
      <c r="H130" s="187" t="s">
        <v>99</v>
      </c>
      <c r="I130" s="187" t="s">
        <v>100</v>
      </c>
      <c r="J130" s="187" t="s">
        <v>79</v>
      </c>
      <c r="K130" s="187" t="s">
        <v>80</v>
      </c>
      <c r="L130" s="187" t="s">
        <v>101</v>
      </c>
      <c r="M130" s="208" t="s">
        <v>102</v>
      </c>
      <c r="N130" s="208" t="s">
        <v>103</v>
      </c>
      <c r="O130" s="208" t="s">
        <v>104</v>
      </c>
      <c r="P130" s="208" t="s">
        <v>105</v>
      </c>
      <c r="Q130" s="208" t="s">
        <v>106</v>
      </c>
      <c r="R130" s="208" t="s">
        <v>107</v>
      </c>
      <c r="S130" s="208" t="s">
        <v>108</v>
      </c>
      <c r="T130" s="208" t="s">
        <v>109</v>
      </c>
      <c r="U130" s="189" t="s">
        <v>110</v>
      </c>
      <c r="V130" s="185"/>
    </row>
    <row r="131" spans="1:22" ht="12.75" x14ac:dyDescent="0.2">
      <c r="A131" s="220"/>
      <c r="B131" s="275">
        <v>46129</v>
      </c>
      <c r="C131" s="278">
        <v>10</v>
      </c>
      <c r="D131" s="278" t="s">
        <v>111</v>
      </c>
      <c r="E131" s="190" t="s">
        <v>112</v>
      </c>
      <c r="F131" s="191" t="s">
        <v>171</v>
      </c>
      <c r="G131" s="191"/>
      <c r="H131" s="191" t="s">
        <v>113</v>
      </c>
      <c r="I131" s="192"/>
      <c r="J131" s="192">
        <v>2</v>
      </c>
      <c r="K131" s="192">
        <v>2</v>
      </c>
      <c r="L131" s="209">
        <v>120</v>
      </c>
      <c r="M131" s="183">
        <v>96</v>
      </c>
      <c r="N131" s="183">
        <v>84</v>
      </c>
      <c r="O131" s="183">
        <v>84</v>
      </c>
      <c r="P131" s="183">
        <v>78</v>
      </c>
      <c r="Q131" s="183">
        <v>72</v>
      </c>
      <c r="R131" s="183">
        <v>48</v>
      </c>
      <c r="S131" s="183">
        <v>48</v>
      </c>
      <c r="T131" s="183">
        <v>66</v>
      </c>
      <c r="U131" s="210">
        <f>SUM(M131:T131)</f>
        <v>576</v>
      </c>
      <c r="V131" s="184"/>
    </row>
    <row r="132" spans="1:22" ht="12.75" x14ac:dyDescent="0.2">
      <c r="A132" s="220"/>
      <c r="B132" s="276"/>
      <c r="C132" s="279"/>
      <c r="D132" s="279"/>
      <c r="E132" s="195" t="s">
        <v>110</v>
      </c>
      <c r="F132" s="196"/>
      <c r="G132" s="196"/>
      <c r="H132" s="196"/>
      <c r="I132" s="196"/>
      <c r="J132" s="196"/>
      <c r="K132" s="196"/>
      <c r="L132" s="211">
        <f t="shared" ref="L132:U132" si="16">SUM(L131)</f>
        <v>120</v>
      </c>
      <c r="M132" s="181">
        <v>96</v>
      </c>
      <c r="N132" s="181">
        <v>84</v>
      </c>
      <c r="O132" s="181">
        <v>84</v>
      </c>
      <c r="P132" s="181">
        <v>78</v>
      </c>
      <c r="Q132" s="181">
        <v>72</v>
      </c>
      <c r="R132" s="181">
        <v>48</v>
      </c>
      <c r="S132" s="181">
        <v>48</v>
      </c>
      <c r="T132" s="181">
        <v>66</v>
      </c>
      <c r="U132" s="213">
        <f t="shared" si="16"/>
        <v>576</v>
      </c>
      <c r="V132" s="184"/>
    </row>
    <row r="133" spans="1:22" ht="12.75" x14ac:dyDescent="0.2">
      <c r="A133" s="220"/>
      <c r="B133" s="276"/>
      <c r="C133" s="279"/>
      <c r="D133" s="279"/>
      <c r="E133" s="190" t="s">
        <v>114</v>
      </c>
      <c r="F133" s="191" t="s">
        <v>172</v>
      </c>
      <c r="G133" s="191"/>
      <c r="H133" s="191" t="s">
        <v>115</v>
      </c>
      <c r="I133" s="192"/>
      <c r="J133" s="278">
        <v>6</v>
      </c>
      <c r="K133" s="282">
        <v>6</v>
      </c>
      <c r="L133" s="209">
        <v>40</v>
      </c>
      <c r="M133" s="183">
        <v>24</v>
      </c>
      <c r="N133" s="183">
        <v>24</v>
      </c>
      <c r="O133" s="183">
        <v>24</v>
      </c>
      <c r="P133" s="183">
        <v>24</v>
      </c>
      <c r="Q133" s="183">
        <v>24</v>
      </c>
      <c r="R133" s="183">
        <v>30</v>
      </c>
      <c r="S133" s="183">
        <v>30</v>
      </c>
      <c r="T133" s="183">
        <v>24</v>
      </c>
      <c r="U133" s="210">
        <f>SUM(M133:T133)</f>
        <v>204</v>
      </c>
      <c r="V133" s="184"/>
    </row>
    <row r="134" spans="1:22" ht="12.75" x14ac:dyDescent="0.2">
      <c r="A134" s="220"/>
      <c r="B134" s="276"/>
      <c r="C134" s="279"/>
      <c r="D134" s="279"/>
      <c r="E134" s="190" t="s">
        <v>114</v>
      </c>
      <c r="F134" s="191" t="s">
        <v>173</v>
      </c>
      <c r="G134" s="191"/>
      <c r="H134" s="191" t="s">
        <v>115</v>
      </c>
      <c r="I134" s="192"/>
      <c r="J134" s="279"/>
      <c r="K134" s="279"/>
      <c r="L134" s="209">
        <v>40</v>
      </c>
      <c r="M134" s="183">
        <v>18</v>
      </c>
      <c r="N134" s="183">
        <v>24</v>
      </c>
      <c r="O134" s="183">
        <v>24</v>
      </c>
      <c r="P134" s="183">
        <v>24</v>
      </c>
      <c r="Q134" s="183">
        <v>24</v>
      </c>
      <c r="R134" s="183">
        <v>24</v>
      </c>
      <c r="S134" s="183">
        <v>18</v>
      </c>
      <c r="T134" s="183">
        <v>18</v>
      </c>
      <c r="U134" s="210">
        <f>SUM(M134:T134)</f>
        <v>174</v>
      </c>
      <c r="V134" s="184"/>
    </row>
    <row r="135" spans="1:22" ht="12.75" x14ac:dyDescent="0.2">
      <c r="A135" s="220"/>
      <c r="B135" s="276"/>
      <c r="C135" s="279"/>
      <c r="D135" s="279"/>
      <c r="E135" s="190" t="s">
        <v>114</v>
      </c>
      <c r="F135" s="191" t="s">
        <v>174</v>
      </c>
      <c r="G135" s="191"/>
      <c r="H135" s="191" t="s">
        <v>115</v>
      </c>
      <c r="I135" s="192"/>
      <c r="J135" s="281"/>
      <c r="K135" s="281"/>
      <c r="L135" s="209">
        <v>40</v>
      </c>
      <c r="M135" s="183">
        <v>24</v>
      </c>
      <c r="N135" s="183">
        <v>24</v>
      </c>
      <c r="O135" s="183">
        <v>24</v>
      </c>
      <c r="P135" s="183">
        <v>18</v>
      </c>
      <c r="Q135" s="183" t="s">
        <v>183</v>
      </c>
      <c r="R135" s="183">
        <v>18</v>
      </c>
      <c r="S135" s="183">
        <v>18</v>
      </c>
      <c r="T135" s="183" t="s">
        <v>183</v>
      </c>
      <c r="U135" s="210">
        <f>SUM(M135:T135)</f>
        <v>126</v>
      </c>
      <c r="V135" s="184"/>
    </row>
    <row r="136" spans="1:22" ht="12.75" x14ac:dyDescent="0.2">
      <c r="A136" s="220"/>
      <c r="B136" s="276"/>
      <c r="C136" s="279"/>
      <c r="D136" s="279"/>
      <c r="E136" s="195" t="s">
        <v>110</v>
      </c>
      <c r="F136" s="196"/>
      <c r="G136" s="196"/>
      <c r="H136" s="196"/>
      <c r="I136" s="196"/>
      <c r="J136" s="196"/>
      <c r="K136" s="196"/>
      <c r="L136" s="211">
        <f t="shared" ref="L136:U136" si="17">SUM(L133:L135)</f>
        <v>120</v>
      </c>
      <c r="M136" s="181">
        <v>66</v>
      </c>
      <c r="N136" s="181">
        <v>72</v>
      </c>
      <c r="O136" s="181">
        <v>72</v>
      </c>
      <c r="P136" s="181">
        <v>66</v>
      </c>
      <c r="Q136" s="181">
        <v>48</v>
      </c>
      <c r="R136" s="181">
        <v>72</v>
      </c>
      <c r="S136" s="181">
        <v>66</v>
      </c>
      <c r="T136" s="181">
        <v>42</v>
      </c>
      <c r="U136" s="213">
        <f t="shared" si="17"/>
        <v>504</v>
      </c>
      <c r="V136" s="184"/>
    </row>
    <row r="137" spans="1:22" ht="12.75" x14ac:dyDescent="0.2">
      <c r="A137" s="220"/>
      <c r="B137" s="276"/>
      <c r="C137" s="279"/>
      <c r="D137" s="279"/>
      <c r="E137" s="190" t="s">
        <v>116</v>
      </c>
      <c r="F137" s="191" t="s">
        <v>175</v>
      </c>
      <c r="G137" s="191"/>
      <c r="H137" s="191" t="s">
        <v>115</v>
      </c>
      <c r="I137" s="192"/>
      <c r="J137" s="278">
        <v>6</v>
      </c>
      <c r="K137" s="278">
        <v>6</v>
      </c>
      <c r="L137" s="209">
        <v>40</v>
      </c>
      <c r="M137" s="183">
        <v>24</v>
      </c>
      <c r="N137" s="183">
        <v>24</v>
      </c>
      <c r="O137" s="183">
        <v>24</v>
      </c>
      <c r="P137" s="183">
        <v>24</v>
      </c>
      <c r="Q137" s="183">
        <v>18</v>
      </c>
      <c r="R137" s="183">
        <v>24</v>
      </c>
      <c r="S137" s="183">
        <v>24</v>
      </c>
      <c r="T137" s="183">
        <v>30</v>
      </c>
      <c r="U137" s="210">
        <f>SUM(M137:T137)</f>
        <v>192</v>
      </c>
      <c r="V137" s="184"/>
    </row>
    <row r="138" spans="1:22" ht="12.75" x14ac:dyDescent="0.2">
      <c r="A138" s="220"/>
      <c r="B138" s="276"/>
      <c r="C138" s="279"/>
      <c r="D138" s="279"/>
      <c r="E138" s="190" t="s">
        <v>116</v>
      </c>
      <c r="F138" s="191" t="s">
        <v>176</v>
      </c>
      <c r="G138" s="191"/>
      <c r="H138" s="191" t="s">
        <v>115</v>
      </c>
      <c r="I138" s="192"/>
      <c r="J138" s="279"/>
      <c r="K138" s="279"/>
      <c r="L138" s="209">
        <v>40</v>
      </c>
      <c r="M138" s="183">
        <v>24</v>
      </c>
      <c r="N138" s="183">
        <v>24</v>
      </c>
      <c r="O138" s="183">
        <v>24</v>
      </c>
      <c r="P138" s="183">
        <v>24</v>
      </c>
      <c r="Q138" s="183">
        <v>24</v>
      </c>
      <c r="R138" s="183">
        <v>24</v>
      </c>
      <c r="S138" s="183">
        <v>24</v>
      </c>
      <c r="T138" s="183">
        <v>24</v>
      </c>
      <c r="U138" s="210">
        <f>SUM(M138:T138)</f>
        <v>192</v>
      </c>
      <c r="V138" s="184"/>
    </row>
    <row r="139" spans="1:22" ht="12.75" x14ac:dyDescent="0.2">
      <c r="A139" s="220"/>
      <c r="B139" s="276"/>
      <c r="C139" s="279"/>
      <c r="D139" s="279"/>
      <c r="E139" s="190" t="s">
        <v>116</v>
      </c>
      <c r="F139" s="191" t="s">
        <v>177</v>
      </c>
      <c r="G139" s="191"/>
      <c r="H139" s="191" t="s">
        <v>115</v>
      </c>
      <c r="I139" s="192"/>
      <c r="J139" s="281"/>
      <c r="K139" s="281"/>
      <c r="L139" s="209">
        <v>40</v>
      </c>
      <c r="M139" s="183">
        <v>24</v>
      </c>
      <c r="N139" s="183">
        <v>24</v>
      </c>
      <c r="O139" s="183">
        <v>24</v>
      </c>
      <c r="P139" s="183">
        <v>24</v>
      </c>
      <c r="Q139" s="183">
        <v>18</v>
      </c>
      <c r="R139" s="183">
        <v>24</v>
      </c>
      <c r="S139" s="183">
        <v>24</v>
      </c>
      <c r="T139" s="183">
        <v>24</v>
      </c>
      <c r="U139" s="210">
        <f>SUM(M139:T139)</f>
        <v>186</v>
      </c>
      <c r="V139" s="184"/>
    </row>
    <row r="140" spans="1:22" ht="12.75" x14ac:dyDescent="0.2">
      <c r="A140" s="220"/>
      <c r="B140" s="276"/>
      <c r="C140" s="279"/>
      <c r="D140" s="279"/>
      <c r="E140" s="195" t="s">
        <v>110</v>
      </c>
      <c r="F140" s="196"/>
      <c r="G140" s="196"/>
      <c r="H140" s="196"/>
      <c r="I140" s="196"/>
      <c r="J140" s="196"/>
      <c r="K140" s="196"/>
      <c r="L140" s="211">
        <f t="shared" ref="L140:U140" si="18">SUM(L137:L139)</f>
        <v>120</v>
      </c>
      <c r="M140" s="181">
        <v>72</v>
      </c>
      <c r="N140" s="181">
        <v>72</v>
      </c>
      <c r="O140" s="181">
        <v>72</v>
      </c>
      <c r="P140" s="181">
        <v>72</v>
      </c>
      <c r="Q140" s="181">
        <v>60</v>
      </c>
      <c r="R140" s="181">
        <v>72</v>
      </c>
      <c r="S140" s="181">
        <v>72</v>
      </c>
      <c r="T140" s="181">
        <v>78</v>
      </c>
      <c r="U140" s="213">
        <f t="shared" si="18"/>
        <v>570</v>
      </c>
      <c r="V140" s="184"/>
    </row>
    <row r="141" spans="1:22" ht="12.75" x14ac:dyDescent="0.2">
      <c r="A141" s="220"/>
      <c r="B141" s="276"/>
      <c r="C141" s="279"/>
      <c r="D141" s="279"/>
      <c r="E141" s="190" t="s">
        <v>117</v>
      </c>
      <c r="F141" s="191" t="s">
        <v>178</v>
      </c>
      <c r="G141" s="191"/>
      <c r="H141" s="191" t="s">
        <v>115</v>
      </c>
      <c r="I141" s="192"/>
      <c r="J141" s="278">
        <v>8</v>
      </c>
      <c r="K141" s="278">
        <v>8</v>
      </c>
      <c r="L141" s="209">
        <v>30</v>
      </c>
      <c r="M141" s="183">
        <v>12</v>
      </c>
      <c r="N141" s="183">
        <v>15</v>
      </c>
      <c r="O141" s="183">
        <v>15</v>
      </c>
      <c r="P141" s="183">
        <v>12</v>
      </c>
      <c r="Q141" s="183">
        <v>15</v>
      </c>
      <c r="R141" s="183">
        <v>12</v>
      </c>
      <c r="S141" s="183">
        <v>15</v>
      </c>
      <c r="T141" s="183">
        <v>18</v>
      </c>
      <c r="U141" s="210">
        <f>SUM(M141:T141)</f>
        <v>114</v>
      </c>
      <c r="V141" s="184"/>
    </row>
    <row r="142" spans="1:22" ht="12.75" x14ac:dyDescent="0.2">
      <c r="A142" s="220"/>
      <c r="B142" s="276"/>
      <c r="C142" s="279"/>
      <c r="D142" s="279"/>
      <c r="E142" s="190" t="s">
        <v>117</v>
      </c>
      <c r="F142" s="191" t="s">
        <v>179</v>
      </c>
      <c r="G142" s="191"/>
      <c r="H142" s="191" t="s">
        <v>115</v>
      </c>
      <c r="I142" s="192"/>
      <c r="J142" s="279"/>
      <c r="K142" s="279"/>
      <c r="L142" s="209">
        <v>30</v>
      </c>
      <c r="M142" s="183">
        <v>9</v>
      </c>
      <c r="N142" s="183">
        <v>12</v>
      </c>
      <c r="O142" s="183">
        <v>12</v>
      </c>
      <c r="P142" s="183">
        <v>12</v>
      </c>
      <c r="Q142" s="183">
        <v>12</v>
      </c>
      <c r="R142" s="183">
        <v>15</v>
      </c>
      <c r="S142" s="183">
        <v>15</v>
      </c>
      <c r="T142" s="183">
        <v>12</v>
      </c>
      <c r="U142" s="210">
        <f>SUM(M142:T142)</f>
        <v>99</v>
      </c>
      <c r="V142" s="184"/>
    </row>
    <row r="143" spans="1:22" ht="12.75" x14ac:dyDescent="0.2">
      <c r="A143" s="220"/>
      <c r="B143" s="276"/>
      <c r="C143" s="279"/>
      <c r="D143" s="279"/>
      <c r="E143" s="190" t="s">
        <v>117</v>
      </c>
      <c r="F143" s="191" t="s">
        <v>180</v>
      </c>
      <c r="G143" s="191"/>
      <c r="H143" s="191" t="s">
        <v>115</v>
      </c>
      <c r="I143" s="192"/>
      <c r="J143" s="279"/>
      <c r="K143" s="279"/>
      <c r="L143" s="209">
        <v>30</v>
      </c>
      <c r="M143" s="183">
        <v>12</v>
      </c>
      <c r="N143" s="183">
        <v>12</v>
      </c>
      <c r="O143" s="183">
        <v>15</v>
      </c>
      <c r="P143" s="183">
        <v>12</v>
      </c>
      <c r="Q143" s="183">
        <v>12</v>
      </c>
      <c r="R143" s="183">
        <v>12</v>
      </c>
      <c r="S143" s="183">
        <v>12</v>
      </c>
      <c r="T143" s="183">
        <v>12</v>
      </c>
      <c r="U143" s="210">
        <f>SUM(M143:T143)</f>
        <v>99</v>
      </c>
      <c r="V143" s="184"/>
    </row>
    <row r="144" spans="1:22" ht="12.75" x14ac:dyDescent="0.2">
      <c r="A144" s="220"/>
      <c r="B144" s="276"/>
      <c r="C144" s="279"/>
      <c r="D144" s="279"/>
      <c r="E144" s="190" t="s">
        <v>117</v>
      </c>
      <c r="F144" s="191" t="s">
        <v>181</v>
      </c>
      <c r="G144" s="191"/>
      <c r="H144" s="191" t="s">
        <v>115</v>
      </c>
      <c r="I144" s="192"/>
      <c r="J144" s="281"/>
      <c r="K144" s="281"/>
      <c r="L144" s="209">
        <v>30</v>
      </c>
      <c r="M144" s="183">
        <v>12</v>
      </c>
      <c r="N144" s="183">
        <v>12</v>
      </c>
      <c r="O144" s="183">
        <v>15</v>
      </c>
      <c r="P144" s="183">
        <v>15</v>
      </c>
      <c r="Q144" s="183">
        <v>12</v>
      </c>
      <c r="R144" s="183">
        <v>15</v>
      </c>
      <c r="S144" s="183">
        <v>15</v>
      </c>
      <c r="T144" s="183">
        <v>15</v>
      </c>
      <c r="U144" s="210">
        <f>SUM(M144:T144)</f>
        <v>111</v>
      </c>
      <c r="V144" s="184"/>
    </row>
    <row r="145" spans="1:25" ht="12.75" x14ac:dyDescent="0.2">
      <c r="A145" s="220"/>
      <c r="B145" s="276"/>
      <c r="C145" s="279"/>
      <c r="D145" s="279"/>
      <c r="E145" s="195" t="s">
        <v>110</v>
      </c>
      <c r="F145" s="199"/>
      <c r="G145" s="199"/>
      <c r="H145" s="196"/>
      <c r="I145" s="196"/>
      <c r="J145" s="196"/>
      <c r="K145" s="196"/>
      <c r="L145" s="211">
        <f t="shared" ref="L145:U145" si="19">SUM(L141:L144)</f>
        <v>120</v>
      </c>
      <c r="M145" s="181">
        <v>45</v>
      </c>
      <c r="N145" s="181">
        <v>51</v>
      </c>
      <c r="O145" s="181">
        <v>57</v>
      </c>
      <c r="P145" s="181">
        <v>51</v>
      </c>
      <c r="Q145" s="181">
        <v>51</v>
      </c>
      <c r="R145" s="181">
        <v>54</v>
      </c>
      <c r="S145" s="181">
        <v>57</v>
      </c>
      <c r="T145" s="181">
        <v>57</v>
      </c>
      <c r="U145" s="213">
        <f t="shared" si="19"/>
        <v>423</v>
      </c>
      <c r="V145" s="184"/>
    </row>
    <row r="146" spans="1:25" ht="12.75" x14ac:dyDescent="0.2">
      <c r="A146" s="220"/>
      <c r="B146" s="276"/>
      <c r="C146" s="279"/>
      <c r="D146" s="279"/>
      <c r="E146" s="283" t="s">
        <v>118</v>
      </c>
      <c r="F146" s="284"/>
      <c r="G146" s="284"/>
      <c r="H146" s="285"/>
      <c r="I146" s="192"/>
      <c r="J146" s="278">
        <v>8</v>
      </c>
      <c r="K146" s="289">
        <v>0</v>
      </c>
      <c r="L146" s="191"/>
      <c r="M146" s="214"/>
      <c r="N146" s="214"/>
      <c r="O146" s="214"/>
      <c r="P146" s="214"/>
      <c r="Q146" s="214"/>
      <c r="R146" s="214"/>
      <c r="S146" s="214"/>
      <c r="T146" s="214"/>
      <c r="U146" s="200"/>
      <c r="V146" s="184"/>
      <c r="Y146" s="182"/>
    </row>
    <row r="147" spans="1:25" ht="13.5" thickBot="1" x14ac:dyDescent="0.25">
      <c r="A147" s="220"/>
      <c r="B147" s="277"/>
      <c r="C147" s="280"/>
      <c r="D147" s="280"/>
      <c r="E147" s="286"/>
      <c r="F147" s="287"/>
      <c r="G147" s="287"/>
      <c r="H147" s="288"/>
      <c r="I147" s="201"/>
      <c r="J147" s="280"/>
      <c r="K147" s="280"/>
      <c r="L147" s="202"/>
      <c r="M147" s="202"/>
      <c r="N147" s="202"/>
      <c r="O147" s="202"/>
      <c r="P147" s="202"/>
      <c r="Q147" s="202"/>
      <c r="R147" s="202"/>
      <c r="S147" s="202"/>
      <c r="T147" s="202"/>
      <c r="U147" s="203"/>
      <c r="V147" s="184"/>
    </row>
    <row r="148" spans="1:25" ht="14.25" thickTop="1" thickBot="1" x14ac:dyDescent="0.25">
      <c r="A148" s="221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204"/>
      <c r="N148" s="184"/>
      <c r="O148" s="184"/>
      <c r="P148" s="184"/>
      <c r="Q148" s="184"/>
      <c r="R148" s="184"/>
      <c r="S148" s="184"/>
      <c r="T148" s="184"/>
      <c r="U148" s="185"/>
      <c r="V148" s="184"/>
    </row>
    <row r="149" spans="1:25" ht="14.25" thickTop="1" thickBot="1" x14ac:dyDescent="0.25">
      <c r="A149" s="221"/>
      <c r="B149" s="184"/>
      <c r="C149" s="184"/>
      <c r="D149" s="184"/>
      <c r="E149" s="266" t="s">
        <v>119</v>
      </c>
      <c r="F149" s="267"/>
      <c r="G149" s="267"/>
      <c r="H149" s="267"/>
      <c r="I149" s="267"/>
      <c r="J149" s="267"/>
      <c r="K149" s="267"/>
      <c r="L149" s="267"/>
      <c r="M149" s="267"/>
      <c r="N149" s="267"/>
      <c r="O149" s="267"/>
      <c r="P149" s="267"/>
      <c r="Q149" s="267"/>
      <c r="R149" s="267"/>
      <c r="S149" s="267"/>
      <c r="T149" s="268"/>
      <c r="U149" s="185"/>
      <c r="V149" s="184"/>
    </row>
    <row r="150" spans="1:25" ht="14.25" thickTop="1" thickBot="1" x14ac:dyDescent="0.25">
      <c r="A150" s="221"/>
      <c r="B150" s="184"/>
      <c r="C150" s="184"/>
      <c r="D150" s="184"/>
      <c r="E150" s="271" t="s">
        <v>182</v>
      </c>
      <c r="F150" s="205" t="s">
        <v>120</v>
      </c>
      <c r="G150" s="206"/>
      <c r="H150" s="270"/>
      <c r="I150" s="267"/>
      <c r="J150" s="267"/>
      <c r="K150" s="267"/>
      <c r="L150" s="267"/>
      <c r="M150" s="267"/>
      <c r="N150" s="267"/>
      <c r="O150" s="267"/>
      <c r="P150" s="267"/>
      <c r="Q150" s="267"/>
      <c r="R150" s="267"/>
      <c r="S150" s="267"/>
      <c r="T150" s="268"/>
      <c r="U150" s="185"/>
      <c r="V150" s="184"/>
    </row>
    <row r="151" spans="1:25" ht="14.25" thickTop="1" thickBot="1" x14ac:dyDescent="0.25">
      <c r="A151" s="221"/>
      <c r="B151" s="184"/>
      <c r="C151" s="184"/>
      <c r="D151" s="184"/>
      <c r="E151" s="272"/>
      <c r="F151" s="205" t="s">
        <v>121</v>
      </c>
      <c r="G151" s="206"/>
      <c r="H151" s="270"/>
      <c r="I151" s="267"/>
      <c r="J151" s="267"/>
      <c r="K151" s="267"/>
      <c r="L151" s="267"/>
      <c r="M151" s="267"/>
      <c r="N151" s="267"/>
      <c r="O151" s="267"/>
      <c r="P151" s="267"/>
      <c r="Q151" s="267"/>
      <c r="R151" s="267"/>
      <c r="S151" s="267"/>
      <c r="T151" s="268"/>
      <c r="U151" s="185"/>
      <c r="V151" s="184"/>
    </row>
    <row r="152" spans="1:25" ht="14.25" thickTop="1" thickBot="1" x14ac:dyDescent="0.25">
      <c r="A152" s="221"/>
      <c r="B152" s="184"/>
      <c r="C152" s="184"/>
      <c r="D152" s="184"/>
      <c r="E152" s="272"/>
      <c r="F152" s="205" t="s">
        <v>122</v>
      </c>
      <c r="G152" s="206"/>
      <c r="H152" s="274"/>
      <c r="I152" s="267"/>
      <c r="J152" s="267"/>
      <c r="K152" s="267"/>
      <c r="L152" s="267"/>
      <c r="M152" s="267"/>
      <c r="N152" s="267"/>
      <c r="O152" s="267"/>
      <c r="P152" s="267"/>
      <c r="Q152" s="267"/>
      <c r="R152" s="267"/>
      <c r="S152" s="267"/>
      <c r="T152" s="268"/>
      <c r="U152" s="185"/>
      <c r="V152" s="184"/>
    </row>
    <row r="153" spans="1:25" ht="14.25" thickTop="1" thickBot="1" x14ac:dyDescent="0.25">
      <c r="A153" s="221"/>
      <c r="B153" s="184"/>
      <c r="C153" s="184"/>
      <c r="D153" s="184"/>
      <c r="E153" s="272"/>
      <c r="F153" s="205" t="s">
        <v>123</v>
      </c>
      <c r="G153" s="206"/>
      <c r="H153" s="270"/>
      <c r="I153" s="267"/>
      <c r="J153" s="267"/>
      <c r="K153" s="267"/>
      <c r="L153" s="267"/>
      <c r="M153" s="267"/>
      <c r="N153" s="267"/>
      <c r="O153" s="267"/>
      <c r="P153" s="267"/>
      <c r="Q153" s="267"/>
      <c r="R153" s="267"/>
      <c r="S153" s="267"/>
      <c r="T153" s="268"/>
      <c r="U153" s="185"/>
      <c r="V153" s="184"/>
    </row>
    <row r="154" spans="1:25" ht="14.25" thickTop="1" thickBot="1" x14ac:dyDescent="0.25">
      <c r="A154" s="221"/>
      <c r="B154" s="184"/>
      <c r="C154" s="184"/>
      <c r="D154" s="184"/>
      <c r="E154" s="272"/>
      <c r="F154" s="205" t="s">
        <v>124</v>
      </c>
      <c r="G154" s="206"/>
      <c r="H154" s="270"/>
      <c r="I154" s="267"/>
      <c r="J154" s="267"/>
      <c r="K154" s="267"/>
      <c r="L154" s="267"/>
      <c r="M154" s="267"/>
      <c r="N154" s="267"/>
      <c r="O154" s="267"/>
      <c r="P154" s="267"/>
      <c r="Q154" s="267"/>
      <c r="R154" s="267"/>
      <c r="S154" s="267"/>
      <c r="T154" s="268"/>
      <c r="U154" s="185"/>
      <c r="V154" s="184"/>
    </row>
    <row r="155" spans="1:25" ht="14.25" thickTop="1" thickBot="1" x14ac:dyDescent="0.25">
      <c r="A155" s="221"/>
      <c r="B155" s="184"/>
      <c r="C155" s="184"/>
      <c r="D155" s="184"/>
      <c r="E155" s="272"/>
      <c r="F155" s="206" t="s">
        <v>125</v>
      </c>
      <c r="G155" s="206"/>
      <c r="H155" s="269"/>
      <c r="I155" s="267"/>
      <c r="J155" s="267"/>
      <c r="K155" s="267"/>
      <c r="L155" s="267"/>
      <c r="M155" s="267"/>
      <c r="N155" s="267"/>
      <c r="O155" s="267"/>
      <c r="P155" s="267"/>
      <c r="Q155" s="267"/>
      <c r="R155" s="267"/>
      <c r="S155" s="267"/>
      <c r="T155" s="268"/>
      <c r="U155" s="185"/>
      <c r="V155" s="184"/>
    </row>
    <row r="156" spans="1:25" ht="14.25" thickTop="1" thickBot="1" x14ac:dyDescent="0.25">
      <c r="A156" s="221"/>
      <c r="B156" s="184"/>
      <c r="C156" s="184"/>
      <c r="D156" s="184"/>
      <c r="E156" s="273"/>
      <c r="F156" s="205" t="s">
        <v>126</v>
      </c>
      <c r="G156" s="206"/>
      <c r="H156" s="270"/>
      <c r="I156" s="267"/>
      <c r="J156" s="267"/>
      <c r="K156" s="267"/>
      <c r="L156" s="267"/>
      <c r="M156" s="267"/>
      <c r="N156" s="267"/>
      <c r="O156" s="267"/>
      <c r="P156" s="267"/>
      <c r="Q156" s="267"/>
      <c r="R156" s="267"/>
      <c r="S156" s="267"/>
      <c r="T156" s="268"/>
      <c r="U156" s="185"/>
      <c r="V156" s="184"/>
    </row>
    <row r="157" spans="1:25" ht="14.25" thickTop="1" thickBot="1" x14ac:dyDescent="0.25">
      <c r="A157" s="221"/>
      <c r="B157" s="184"/>
      <c r="C157" s="184"/>
      <c r="D157" s="184"/>
      <c r="E157" s="207" t="s">
        <v>127</v>
      </c>
      <c r="F157" s="205" t="s">
        <v>128</v>
      </c>
      <c r="G157" s="206"/>
      <c r="H157" s="270"/>
      <c r="I157" s="267"/>
      <c r="J157" s="267"/>
      <c r="K157" s="267"/>
      <c r="L157" s="267"/>
      <c r="M157" s="267"/>
      <c r="N157" s="267"/>
      <c r="O157" s="267"/>
      <c r="P157" s="267"/>
      <c r="Q157" s="267"/>
      <c r="R157" s="267"/>
      <c r="S157" s="267"/>
      <c r="T157" s="268"/>
      <c r="U157" s="185"/>
      <c r="V157" s="184"/>
    </row>
    <row r="158" spans="1:25" ht="13.5" thickTop="1" x14ac:dyDescent="0.2">
      <c r="A158" s="221"/>
      <c r="B158" s="184"/>
      <c r="C158" s="184"/>
      <c r="D158" s="184"/>
      <c r="E158" s="184"/>
      <c r="F158" s="184"/>
      <c r="G158" s="184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4"/>
    </row>
    <row r="159" spans="1:25" ht="12.75" x14ac:dyDescent="0.2">
      <c r="A159" s="221"/>
      <c r="B159" s="184"/>
      <c r="C159" s="184"/>
      <c r="D159" s="184"/>
      <c r="E159" s="184"/>
      <c r="F159" s="184"/>
      <c r="G159" s="184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4"/>
    </row>
    <row r="160" spans="1:25" ht="12.75" x14ac:dyDescent="0.2"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</row>
    <row r="161" spans="8:21" ht="12.75" x14ac:dyDescent="0.2"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</row>
    <row r="162" spans="8:21" ht="12.75" x14ac:dyDescent="0.2"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</row>
    <row r="163" spans="8:21" ht="12.75" x14ac:dyDescent="0.2"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</row>
    <row r="164" spans="8:21" ht="12.75" x14ac:dyDescent="0.2"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</row>
    <row r="165" spans="8:21" ht="12.75" x14ac:dyDescent="0.2"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</row>
    <row r="166" spans="8:21" ht="12.75" x14ac:dyDescent="0.2"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</row>
    <row r="167" spans="8:21" ht="12.75" x14ac:dyDescent="0.2"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</row>
    <row r="168" spans="8:21" ht="12.75" x14ac:dyDescent="0.2"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</row>
    <row r="169" spans="8:21" ht="12.75" x14ac:dyDescent="0.2"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</row>
    <row r="170" spans="8:21" ht="12.75" x14ac:dyDescent="0.2"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</row>
    <row r="171" spans="8:21" ht="12.75" x14ac:dyDescent="0.2"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</row>
    <row r="172" spans="8:21" ht="12.75" x14ac:dyDescent="0.2"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</row>
    <row r="173" spans="8:21" ht="12.75" x14ac:dyDescent="0.2"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</row>
    <row r="174" spans="8:21" ht="12.75" x14ac:dyDescent="0.2"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</row>
    <row r="175" spans="8:21" ht="12.75" x14ac:dyDescent="0.2"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</row>
    <row r="176" spans="8:21" ht="12.75" x14ac:dyDescent="0.2"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</row>
    <row r="177" spans="8:21" ht="12.75" x14ac:dyDescent="0.2"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</row>
    <row r="178" spans="8:21" ht="12.75" x14ac:dyDescent="0.2"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</row>
    <row r="179" spans="8:21" ht="12.75" x14ac:dyDescent="0.2"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</row>
    <row r="180" spans="8:21" ht="12.75" x14ac:dyDescent="0.2"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</row>
    <row r="181" spans="8:21" ht="12.75" x14ac:dyDescent="0.2"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</row>
    <row r="182" spans="8:21" ht="12.75" x14ac:dyDescent="0.2"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</row>
    <row r="183" spans="8:21" ht="12.75" x14ac:dyDescent="0.2"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</row>
    <row r="184" spans="8:21" ht="12.75" x14ac:dyDescent="0.2"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</row>
    <row r="185" spans="8:21" ht="12.75" x14ac:dyDescent="0.2"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</row>
    <row r="186" spans="8:21" ht="12.75" x14ac:dyDescent="0.2"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</row>
    <row r="187" spans="8:21" ht="12.75" x14ac:dyDescent="0.2"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</row>
    <row r="188" spans="8:21" ht="12.75" x14ac:dyDescent="0.2"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</row>
    <row r="189" spans="8:21" ht="12.75" x14ac:dyDescent="0.2"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</row>
    <row r="190" spans="8:21" ht="12.75" x14ac:dyDescent="0.2"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</row>
    <row r="191" spans="8:21" ht="12.75" x14ac:dyDescent="0.2"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</row>
    <row r="192" spans="8:21" ht="12.75" x14ac:dyDescent="0.2"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</row>
    <row r="193" spans="8:21" ht="12.75" x14ac:dyDescent="0.2"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</row>
    <row r="194" spans="8:21" ht="12.75" x14ac:dyDescent="0.2"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</row>
    <row r="195" spans="8:21" ht="12.75" x14ac:dyDescent="0.2"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</row>
    <row r="196" spans="8:21" ht="12.75" x14ac:dyDescent="0.2"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</row>
    <row r="197" spans="8:21" ht="12.75" x14ac:dyDescent="0.2"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</row>
    <row r="198" spans="8:21" ht="12.75" x14ac:dyDescent="0.2"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</row>
    <row r="199" spans="8:21" ht="12.75" x14ac:dyDescent="0.2"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</row>
    <row r="200" spans="8:21" ht="12.75" x14ac:dyDescent="0.2"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</row>
    <row r="201" spans="8:21" ht="12.75" x14ac:dyDescent="0.2"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</row>
    <row r="202" spans="8:21" ht="12.75" x14ac:dyDescent="0.2"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</row>
    <row r="203" spans="8:21" ht="12.75" x14ac:dyDescent="0.2"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</row>
    <row r="204" spans="8:21" ht="12.75" x14ac:dyDescent="0.2"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</row>
    <row r="205" spans="8:21" ht="12.75" x14ac:dyDescent="0.2"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</row>
    <row r="206" spans="8:21" ht="12.75" x14ac:dyDescent="0.2"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</row>
    <row r="207" spans="8:21" ht="12.75" x14ac:dyDescent="0.2"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</row>
    <row r="208" spans="8:21" ht="12.75" x14ac:dyDescent="0.2"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</row>
    <row r="209" spans="8:21" ht="12.75" x14ac:dyDescent="0.2"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</row>
    <row r="210" spans="8:21" ht="12.75" x14ac:dyDescent="0.2"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</row>
    <row r="211" spans="8:21" ht="12.75" x14ac:dyDescent="0.2"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</row>
    <row r="212" spans="8:21" ht="12.75" x14ac:dyDescent="0.2"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</row>
    <row r="213" spans="8:21" ht="12.75" x14ac:dyDescent="0.2"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</row>
    <row r="214" spans="8:21" ht="12.75" x14ac:dyDescent="0.2"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</row>
    <row r="215" spans="8:21" ht="12.75" x14ac:dyDescent="0.2"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</row>
    <row r="216" spans="8:21" ht="12.75" x14ac:dyDescent="0.2"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</row>
    <row r="217" spans="8:21" ht="12.75" x14ac:dyDescent="0.2"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</row>
    <row r="218" spans="8:21" ht="12.75" x14ac:dyDescent="0.2"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</row>
    <row r="219" spans="8:21" ht="12.75" x14ac:dyDescent="0.2"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</row>
    <row r="220" spans="8:21" ht="12.75" x14ac:dyDescent="0.2"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</row>
    <row r="221" spans="8:21" ht="12.75" x14ac:dyDescent="0.2"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</row>
    <row r="222" spans="8:21" ht="12.75" x14ac:dyDescent="0.2"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</row>
    <row r="223" spans="8:21" ht="12.75" x14ac:dyDescent="0.2"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</row>
    <row r="224" spans="8:21" ht="12.75" x14ac:dyDescent="0.2"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</row>
    <row r="225" spans="8:21" ht="12.75" x14ac:dyDescent="0.2"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</row>
    <row r="226" spans="8:21" ht="12.75" x14ac:dyDescent="0.2"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</row>
    <row r="227" spans="8:21" ht="12.75" x14ac:dyDescent="0.2"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</row>
    <row r="228" spans="8:21" ht="12.75" x14ac:dyDescent="0.2"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</row>
    <row r="229" spans="8:21" ht="12.75" x14ac:dyDescent="0.2"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</row>
    <row r="230" spans="8:21" ht="12.75" x14ac:dyDescent="0.2"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</row>
    <row r="231" spans="8:21" ht="12.75" x14ac:dyDescent="0.2"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</row>
    <row r="232" spans="8:21" ht="12.75" x14ac:dyDescent="0.2"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</row>
    <row r="233" spans="8:21" ht="12.75" x14ac:dyDescent="0.2"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</row>
    <row r="234" spans="8:21" ht="12.75" x14ac:dyDescent="0.2"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</row>
    <row r="235" spans="8:21" ht="12.75" x14ac:dyDescent="0.2"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</row>
    <row r="236" spans="8:21" ht="12.75" x14ac:dyDescent="0.2"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</row>
    <row r="237" spans="8:21" ht="12.75" x14ac:dyDescent="0.2"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</row>
    <row r="238" spans="8:21" ht="12.75" x14ac:dyDescent="0.2"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</row>
    <row r="239" spans="8:21" ht="12.75" x14ac:dyDescent="0.2"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</row>
    <row r="240" spans="8:21" ht="12.75" x14ac:dyDescent="0.2"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</row>
    <row r="241" spans="8:21" ht="12.75" x14ac:dyDescent="0.2"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</row>
    <row r="242" spans="8:21" ht="12.75" x14ac:dyDescent="0.2"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</row>
    <row r="243" spans="8:21" ht="12.75" x14ac:dyDescent="0.2"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</row>
    <row r="244" spans="8:21" ht="12.75" x14ac:dyDescent="0.2"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</row>
    <row r="245" spans="8:21" ht="12.75" x14ac:dyDescent="0.2"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</row>
    <row r="246" spans="8:21" ht="12.75" x14ac:dyDescent="0.2"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</row>
    <row r="247" spans="8:21" ht="12.75" x14ac:dyDescent="0.2"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</row>
    <row r="248" spans="8:21" ht="12.75" x14ac:dyDescent="0.2"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</row>
    <row r="249" spans="8:21" ht="12.75" x14ac:dyDescent="0.2"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</row>
    <row r="250" spans="8:21" ht="12.75" x14ac:dyDescent="0.2"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</row>
    <row r="251" spans="8:21" ht="12.75" x14ac:dyDescent="0.2"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</row>
    <row r="252" spans="8:21" ht="12.75" x14ac:dyDescent="0.2"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</row>
    <row r="253" spans="8:21" ht="12.75" x14ac:dyDescent="0.2"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</row>
    <row r="254" spans="8:21" ht="12.75" x14ac:dyDescent="0.2"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</row>
    <row r="255" spans="8:21" ht="12.75" x14ac:dyDescent="0.2"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</row>
    <row r="256" spans="8:21" ht="12.75" x14ac:dyDescent="0.2"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</row>
    <row r="257" spans="8:21" ht="12.75" x14ac:dyDescent="0.2"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</row>
    <row r="258" spans="8:21" ht="12.75" x14ac:dyDescent="0.2"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</row>
    <row r="259" spans="8:21" ht="12.75" x14ac:dyDescent="0.2"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</row>
    <row r="260" spans="8:21" ht="12.75" x14ac:dyDescent="0.2"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</row>
    <row r="261" spans="8:21" ht="12.75" x14ac:dyDescent="0.2"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</row>
    <row r="262" spans="8:21" ht="12.75" x14ac:dyDescent="0.2"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</row>
    <row r="263" spans="8:21" ht="12.75" x14ac:dyDescent="0.2"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</row>
    <row r="264" spans="8:21" ht="12.75" x14ac:dyDescent="0.2"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</row>
    <row r="265" spans="8:21" ht="12.75" x14ac:dyDescent="0.2"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</row>
    <row r="266" spans="8:21" ht="12.75" x14ac:dyDescent="0.2"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</row>
    <row r="267" spans="8:21" ht="12.75" x14ac:dyDescent="0.2"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</row>
    <row r="268" spans="8:21" ht="12.75" x14ac:dyDescent="0.2"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</row>
    <row r="269" spans="8:21" ht="12.75" x14ac:dyDescent="0.2"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</row>
    <row r="270" spans="8:21" ht="12.75" x14ac:dyDescent="0.2"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</row>
    <row r="271" spans="8:21" ht="12.75" x14ac:dyDescent="0.2"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</row>
    <row r="272" spans="8:21" ht="12.75" x14ac:dyDescent="0.2"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</row>
    <row r="273" spans="8:21" ht="12.75" x14ac:dyDescent="0.2"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</row>
    <row r="274" spans="8:21" ht="12.75" x14ac:dyDescent="0.2"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</row>
    <row r="275" spans="8:21" ht="12.75" x14ac:dyDescent="0.2"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</row>
    <row r="276" spans="8:21" ht="12.75" x14ac:dyDescent="0.2"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</row>
    <row r="277" spans="8:21" ht="12.75" x14ac:dyDescent="0.2"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</row>
    <row r="278" spans="8:21" ht="12.75" x14ac:dyDescent="0.2"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</row>
    <row r="279" spans="8:21" ht="12.75" x14ac:dyDescent="0.2"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</row>
    <row r="280" spans="8:21" ht="12.75" x14ac:dyDescent="0.2"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</row>
    <row r="281" spans="8:21" ht="12.75" x14ac:dyDescent="0.2"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</row>
    <row r="282" spans="8:21" ht="12.75" x14ac:dyDescent="0.2"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</row>
    <row r="283" spans="8:21" ht="12.75" x14ac:dyDescent="0.2"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</row>
    <row r="284" spans="8:21" ht="12.75" x14ac:dyDescent="0.2"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</row>
    <row r="285" spans="8:21" ht="12.75" x14ac:dyDescent="0.2"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</row>
    <row r="286" spans="8:21" ht="12.75" x14ac:dyDescent="0.2"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</row>
    <row r="287" spans="8:21" ht="12.75" x14ac:dyDescent="0.2"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</row>
    <row r="288" spans="8:21" ht="12.75" x14ac:dyDescent="0.2"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</row>
    <row r="289" spans="8:21" ht="12.75" x14ac:dyDescent="0.2"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</row>
    <row r="290" spans="8:21" ht="12.75" x14ac:dyDescent="0.2"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</row>
    <row r="291" spans="8:21" ht="12.75" x14ac:dyDescent="0.2"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</row>
    <row r="292" spans="8:21" ht="12.75" x14ac:dyDescent="0.2"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</row>
    <row r="293" spans="8:21" ht="12.75" x14ac:dyDescent="0.2"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</row>
    <row r="294" spans="8:21" ht="12.75" x14ac:dyDescent="0.2"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</row>
    <row r="295" spans="8:21" ht="12.75" x14ac:dyDescent="0.2"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</row>
    <row r="296" spans="8:21" ht="12.75" x14ac:dyDescent="0.2"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</row>
    <row r="297" spans="8:21" ht="12.75" x14ac:dyDescent="0.2"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</row>
    <row r="298" spans="8:21" ht="12.75" x14ac:dyDescent="0.2"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</row>
    <row r="299" spans="8:21" ht="12.75" x14ac:dyDescent="0.2"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</row>
    <row r="300" spans="8:21" ht="12.75" x14ac:dyDescent="0.2"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</row>
    <row r="301" spans="8:21" ht="12.75" x14ac:dyDescent="0.2"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</row>
    <row r="302" spans="8:21" ht="12.75" x14ac:dyDescent="0.2"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</row>
    <row r="303" spans="8:21" ht="12.75" x14ac:dyDescent="0.2"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</row>
    <row r="304" spans="8:21" ht="12.75" x14ac:dyDescent="0.2"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</row>
    <row r="305" spans="8:21" ht="12.75" x14ac:dyDescent="0.2"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</row>
    <row r="306" spans="8:21" ht="12.75" x14ac:dyDescent="0.2"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</row>
    <row r="307" spans="8:21" ht="12.75" x14ac:dyDescent="0.2"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</row>
    <row r="308" spans="8:21" ht="12.75" x14ac:dyDescent="0.2"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</row>
    <row r="309" spans="8:21" ht="12.75" x14ac:dyDescent="0.2"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</row>
    <row r="310" spans="8:21" ht="12.75" x14ac:dyDescent="0.2"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</row>
    <row r="311" spans="8:21" ht="12.75" x14ac:dyDescent="0.2"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</row>
    <row r="312" spans="8:21" ht="12.75" x14ac:dyDescent="0.2"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</row>
    <row r="313" spans="8:21" ht="12.75" x14ac:dyDescent="0.2"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</row>
    <row r="314" spans="8:21" ht="12.75" x14ac:dyDescent="0.2"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</row>
    <row r="315" spans="8:21" ht="12.75" x14ac:dyDescent="0.2"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</row>
    <row r="316" spans="8:21" ht="12.75" x14ac:dyDescent="0.2"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</row>
    <row r="317" spans="8:21" ht="12.75" x14ac:dyDescent="0.2"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</row>
    <row r="318" spans="8:21" ht="12.75" x14ac:dyDescent="0.2"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</row>
    <row r="319" spans="8:21" ht="12.75" x14ac:dyDescent="0.2"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</row>
    <row r="320" spans="8:21" ht="12.75" x14ac:dyDescent="0.2"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</row>
    <row r="321" spans="8:21" ht="12.75" x14ac:dyDescent="0.2"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</row>
    <row r="322" spans="8:21" ht="12.75" x14ac:dyDescent="0.2"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</row>
    <row r="323" spans="8:21" ht="12.75" x14ac:dyDescent="0.2"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</row>
    <row r="324" spans="8:21" ht="12.75" x14ac:dyDescent="0.2"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</row>
    <row r="325" spans="8:21" ht="12.75" x14ac:dyDescent="0.2"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</row>
    <row r="326" spans="8:21" ht="12.75" x14ac:dyDescent="0.2"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</row>
    <row r="327" spans="8:21" ht="12.75" x14ac:dyDescent="0.2"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</row>
    <row r="328" spans="8:21" ht="12.75" x14ac:dyDescent="0.2"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</row>
    <row r="329" spans="8:21" ht="12.75" x14ac:dyDescent="0.2"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</row>
    <row r="330" spans="8:21" ht="12.75" x14ac:dyDescent="0.2"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</row>
    <row r="331" spans="8:21" ht="12.75" x14ac:dyDescent="0.2"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</row>
    <row r="332" spans="8:21" ht="12.75" x14ac:dyDescent="0.2"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</row>
    <row r="333" spans="8:21" ht="12.75" x14ac:dyDescent="0.2"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</row>
    <row r="334" spans="8:21" ht="12.75" x14ac:dyDescent="0.2"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</row>
    <row r="335" spans="8:21" ht="12.75" x14ac:dyDescent="0.2"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</row>
    <row r="336" spans="8:21" ht="12.75" x14ac:dyDescent="0.2"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</row>
    <row r="337" spans="8:21" ht="12.75" x14ac:dyDescent="0.2"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</row>
    <row r="338" spans="8:21" ht="12.75" x14ac:dyDescent="0.2"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</row>
    <row r="339" spans="8:21" ht="12.75" x14ac:dyDescent="0.2"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</row>
    <row r="340" spans="8:21" ht="12.75" x14ac:dyDescent="0.2"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</row>
    <row r="341" spans="8:21" ht="12.75" x14ac:dyDescent="0.2"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</row>
    <row r="342" spans="8:21" ht="12.75" x14ac:dyDescent="0.2"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</row>
    <row r="343" spans="8:21" ht="12.75" x14ac:dyDescent="0.2"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</row>
    <row r="344" spans="8:21" ht="12.75" x14ac:dyDescent="0.2"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</row>
    <row r="345" spans="8:21" ht="12.75" x14ac:dyDescent="0.2"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</row>
    <row r="346" spans="8:21" ht="12.75" x14ac:dyDescent="0.2"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</row>
    <row r="347" spans="8:21" ht="12.75" x14ac:dyDescent="0.2"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</row>
    <row r="348" spans="8:21" ht="12.75" x14ac:dyDescent="0.2"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</row>
    <row r="349" spans="8:21" ht="12.75" x14ac:dyDescent="0.2"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</row>
    <row r="350" spans="8:21" ht="12.75" x14ac:dyDescent="0.2"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</row>
    <row r="351" spans="8:21" ht="12.75" x14ac:dyDescent="0.2"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</row>
    <row r="352" spans="8:21" ht="12.75" x14ac:dyDescent="0.2"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</row>
    <row r="353" spans="8:21" ht="12.75" x14ac:dyDescent="0.2"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</row>
    <row r="354" spans="8:21" ht="12.75" x14ac:dyDescent="0.2"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</row>
    <row r="355" spans="8:21" ht="12.75" x14ac:dyDescent="0.2"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</row>
    <row r="356" spans="8:21" ht="12.75" x14ac:dyDescent="0.2"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</row>
    <row r="357" spans="8:21" ht="12.75" x14ac:dyDescent="0.2"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</row>
    <row r="358" spans="8:21" ht="12.75" x14ac:dyDescent="0.2"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</row>
    <row r="359" spans="8:21" ht="12.75" x14ac:dyDescent="0.2"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</row>
    <row r="360" spans="8:21" ht="12.75" x14ac:dyDescent="0.2"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</row>
    <row r="361" spans="8:21" ht="12.75" x14ac:dyDescent="0.2"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</row>
    <row r="362" spans="8:21" ht="12.75" x14ac:dyDescent="0.2"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</row>
    <row r="363" spans="8:21" ht="12.75" x14ac:dyDescent="0.2"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</row>
    <row r="364" spans="8:21" ht="12.75" x14ac:dyDescent="0.2"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</row>
    <row r="365" spans="8:21" ht="12.75" x14ac:dyDescent="0.2"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</row>
    <row r="366" spans="8:21" ht="12.75" x14ac:dyDescent="0.2"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</row>
    <row r="367" spans="8:21" ht="12.75" x14ac:dyDescent="0.2"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</row>
    <row r="368" spans="8:21" ht="12.75" x14ac:dyDescent="0.2"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</row>
    <row r="369" spans="8:21" ht="12.75" x14ac:dyDescent="0.2"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</row>
    <row r="370" spans="8:21" ht="12.75" x14ac:dyDescent="0.2"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</row>
    <row r="371" spans="8:21" ht="12.75" x14ac:dyDescent="0.2"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</row>
    <row r="372" spans="8:21" ht="12.75" x14ac:dyDescent="0.2"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</row>
    <row r="373" spans="8:21" ht="12.75" x14ac:dyDescent="0.2"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</row>
    <row r="374" spans="8:21" ht="12.75" x14ac:dyDescent="0.2"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</row>
    <row r="375" spans="8:21" ht="12.75" x14ac:dyDescent="0.2"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</row>
    <row r="376" spans="8:21" ht="12.75" x14ac:dyDescent="0.2"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</row>
    <row r="377" spans="8:21" ht="12.75" x14ac:dyDescent="0.2"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</row>
    <row r="378" spans="8:21" ht="12.75" x14ac:dyDescent="0.2"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</row>
    <row r="379" spans="8:21" ht="12.75" x14ac:dyDescent="0.2"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</row>
    <row r="380" spans="8:21" ht="12.75" x14ac:dyDescent="0.2"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</row>
    <row r="381" spans="8:21" ht="12.75" x14ac:dyDescent="0.2"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</row>
    <row r="382" spans="8:21" ht="12.75" x14ac:dyDescent="0.2"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</row>
    <row r="383" spans="8:21" ht="12.75" x14ac:dyDescent="0.2"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</row>
    <row r="384" spans="8:21" ht="12.75" x14ac:dyDescent="0.2"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</row>
    <row r="385" spans="8:21" ht="12.75" x14ac:dyDescent="0.2"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</row>
    <row r="386" spans="8:21" ht="12.75" x14ac:dyDescent="0.2"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</row>
    <row r="387" spans="8:21" ht="12.75" x14ac:dyDescent="0.2"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</row>
    <row r="388" spans="8:21" ht="12.75" x14ac:dyDescent="0.2"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</row>
    <row r="389" spans="8:21" ht="12.75" x14ac:dyDescent="0.2"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</row>
    <row r="390" spans="8:21" ht="12.75" x14ac:dyDescent="0.2"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</row>
    <row r="391" spans="8:21" ht="12.75" x14ac:dyDescent="0.2"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</row>
    <row r="392" spans="8:21" ht="12.75" x14ac:dyDescent="0.2"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</row>
    <row r="393" spans="8:21" ht="12.75" x14ac:dyDescent="0.2"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</row>
    <row r="394" spans="8:21" ht="12.75" x14ac:dyDescent="0.2"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</row>
    <row r="395" spans="8:21" ht="12.75" x14ac:dyDescent="0.2"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</row>
    <row r="396" spans="8:21" ht="12.75" x14ac:dyDescent="0.2"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</row>
    <row r="397" spans="8:21" ht="12.75" x14ac:dyDescent="0.2"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</row>
    <row r="398" spans="8:21" ht="12.75" x14ac:dyDescent="0.2"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</row>
    <row r="399" spans="8:21" ht="12.75" x14ac:dyDescent="0.2"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</row>
    <row r="400" spans="8:21" ht="12.75" x14ac:dyDescent="0.2"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</row>
    <row r="401" spans="8:21" ht="12.75" x14ac:dyDescent="0.2"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</row>
    <row r="402" spans="8:21" ht="12.75" x14ac:dyDescent="0.2"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</row>
    <row r="403" spans="8:21" ht="12.75" x14ac:dyDescent="0.2"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</row>
    <row r="404" spans="8:21" ht="12.75" x14ac:dyDescent="0.2"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</row>
    <row r="405" spans="8:21" ht="12.75" x14ac:dyDescent="0.2"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</row>
    <row r="406" spans="8:21" ht="12.75" x14ac:dyDescent="0.2"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</row>
    <row r="407" spans="8:21" ht="12.75" x14ac:dyDescent="0.2"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</row>
    <row r="408" spans="8:21" ht="12.75" x14ac:dyDescent="0.2"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</row>
    <row r="409" spans="8:21" ht="12.75" x14ac:dyDescent="0.2"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</row>
  </sheetData>
  <mergeCells count="122">
    <mergeCell ref="B5:B21"/>
    <mergeCell ref="C5:C21"/>
    <mergeCell ref="D5:D21"/>
    <mergeCell ref="J7:J9"/>
    <mergeCell ref="K7:K9"/>
    <mergeCell ref="J11:J13"/>
    <mergeCell ref="K11:K13"/>
    <mergeCell ref="J15:J18"/>
    <mergeCell ref="K15:K18"/>
    <mergeCell ref="E20:H21"/>
    <mergeCell ref="J20:J21"/>
    <mergeCell ref="K20:K21"/>
    <mergeCell ref="G30:T30"/>
    <mergeCell ref="G31:T31"/>
    <mergeCell ref="E23:T23"/>
    <mergeCell ref="E24:E30"/>
    <mergeCell ref="K43:K45"/>
    <mergeCell ref="G24:T24"/>
    <mergeCell ref="G25:T25"/>
    <mergeCell ref="G26:T26"/>
    <mergeCell ref="G27:T27"/>
    <mergeCell ref="G28:T28"/>
    <mergeCell ref="G29:T29"/>
    <mergeCell ref="J47:J50"/>
    <mergeCell ref="K47:K50"/>
    <mergeCell ref="E52:H53"/>
    <mergeCell ref="J52:J53"/>
    <mergeCell ref="K52:K53"/>
    <mergeCell ref="B36:B53"/>
    <mergeCell ref="C36:C53"/>
    <mergeCell ref="D36:D53"/>
    <mergeCell ref="J36:J37"/>
    <mergeCell ref="K36:K37"/>
    <mergeCell ref="J39:J41"/>
    <mergeCell ref="K39:K41"/>
    <mergeCell ref="J43:J45"/>
    <mergeCell ref="I39:I41"/>
    <mergeCell ref="I36:I37"/>
    <mergeCell ref="I43:I45"/>
    <mergeCell ref="I47:I50"/>
    <mergeCell ref="E55:T55"/>
    <mergeCell ref="E56:E62"/>
    <mergeCell ref="H56:T56"/>
    <mergeCell ref="H57:T57"/>
    <mergeCell ref="H58:T58"/>
    <mergeCell ref="H59:T59"/>
    <mergeCell ref="H60:T60"/>
    <mergeCell ref="H61:T61"/>
    <mergeCell ref="H62:T62"/>
    <mergeCell ref="H63:T63"/>
    <mergeCell ref="B68:B85"/>
    <mergeCell ref="C68:C85"/>
    <mergeCell ref="D68:D85"/>
    <mergeCell ref="J68:J69"/>
    <mergeCell ref="K68:K69"/>
    <mergeCell ref="J71:J73"/>
    <mergeCell ref="K71:K73"/>
    <mergeCell ref="J75:J77"/>
    <mergeCell ref="K75:K77"/>
    <mergeCell ref="I68:I69"/>
    <mergeCell ref="I71:I73"/>
    <mergeCell ref="I75:I77"/>
    <mergeCell ref="I79:I82"/>
    <mergeCell ref="E88:E94"/>
    <mergeCell ref="H88:T88"/>
    <mergeCell ref="H89:T89"/>
    <mergeCell ref="H90:T90"/>
    <mergeCell ref="H91:T91"/>
    <mergeCell ref="H92:T92"/>
    <mergeCell ref="H93:T93"/>
    <mergeCell ref="H94:T94"/>
    <mergeCell ref="J79:J82"/>
    <mergeCell ref="K79:K82"/>
    <mergeCell ref="E84:H85"/>
    <mergeCell ref="J84:J85"/>
    <mergeCell ref="K84:K85"/>
    <mergeCell ref="E87:T87"/>
    <mergeCell ref="H95:T95"/>
    <mergeCell ref="B100:B116"/>
    <mergeCell ref="C100:C116"/>
    <mergeCell ref="D100:D116"/>
    <mergeCell ref="J102:J104"/>
    <mergeCell ref="K102:K104"/>
    <mergeCell ref="J106:J108"/>
    <mergeCell ref="K106:K108"/>
    <mergeCell ref="J110:J113"/>
    <mergeCell ref="K110:K113"/>
    <mergeCell ref="B131:B147"/>
    <mergeCell ref="C131:C147"/>
    <mergeCell ref="D131:D147"/>
    <mergeCell ref="J133:J135"/>
    <mergeCell ref="K133:K135"/>
    <mergeCell ref="J137:J139"/>
    <mergeCell ref="K137:K139"/>
    <mergeCell ref="E115:H116"/>
    <mergeCell ref="J115:J116"/>
    <mergeCell ref="K115:K116"/>
    <mergeCell ref="E118:T118"/>
    <mergeCell ref="E119:E125"/>
    <mergeCell ref="H119:T119"/>
    <mergeCell ref="H120:T120"/>
    <mergeCell ref="H121:T121"/>
    <mergeCell ref="H122:T122"/>
    <mergeCell ref="H123:T123"/>
    <mergeCell ref="J141:J144"/>
    <mergeCell ref="K141:K144"/>
    <mergeCell ref="E146:H147"/>
    <mergeCell ref="J146:J147"/>
    <mergeCell ref="K146:K147"/>
    <mergeCell ref="E149:T149"/>
    <mergeCell ref="H124:T124"/>
    <mergeCell ref="H125:T125"/>
    <mergeCell ref="H126:T126"/>
    <mergeCell ref="H157:T157"/>
    <mergeCell ref="E150:E156"/>
    <mergeCell ref="H150:T150"/>
    <mergeCell ref="H151:T151"/>
    <mergeCell ref="H152:T152"/>
    <mergeCell ref="H153:T153"/>
    <mergeCell ref="H154:T154"/>
    <mergeCell ref="H155:T155"/>
    <mergeCell ref="H156:T156"/>
  </mergeCells>
  <printOptions horizontalCentered="1" gridLines="1"/>
  <pageMargins left="0.7" right="0.7" top="0.75" bottom="0.75" header="0" footer="0"/>
  <pageSetup paperSize="9" scale="47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60"/>
  <sheetViews>
    <sheetView showGridLines="0" topLeftCell="H1" zoomScale="85" zoomScaleNormal="85" workbookViewId="0">
      <selection activeCell="S14" sqref="S14"/>
    </sheetView>
  </sheetViews>
  <sheetFormatPr defaultRowHeight="15" x14ac:dyDescent="0.25"/>
  <cols>
    <col min="1" max="1" width="4" customWidth="1"/>
    <col min="2" max="2" width="26" customWidth="1"/>
    <col min="3" max="3" width="27.28515625" customWidth="1"/>
    <col min="4" max="4" width="6.7109375" customWidth="1"/>
    <col min="5" max="5" width="6.140625" customWidth="1"/>
    <col min="6" max="26" width="6.7109375" customWidth="1"/>
    <col min="27" max="27" width="7.7109375" customWidth="1"/>
    <col min="28" max="77" width="6.7109375" customWidth="1"/>
  </cols>
  <sheetData>
    <row r="1" spans="1:77" ht="16.5" customHeight="1" x14ac:dyDescent="0.3"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V1" s="1"/>
      <c r="AW1" s="1"/>
      <c r="AX1" s="1"/>
      <c r="AY1" s="1"/>
      <c r="AZ1" s="1"/>
      <c r="BA1" s="1"/>
      <c r="BF1" s="1"/>
      <c r="BG1" s="1"/>
      <c r="BH1" s="1"/>
      <c r="BI1" s="1"/>
      <c r="BJ1" s="1"/>
      <c r="BK1" s="1"/>
      <c r="BL1" s="1"/>
      <c r="BQ1" s="1"/>
      <c r="BR1" s="1"/>
      <c r="BS1" s="1"/>
      <c r="BT1" s="1"/>
      <c r="BU1" s="1"/>
      <c r="BV1" s="1"/>
    </row>
    <row r="2" spans="1:77" ht="40.5" customHeight="1" x14ac:dyDescent="0.3"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V2" s="1"/>
      <c r="AW2" s="1"/>
      <c r="AX2" s="1"/>
      <c r="AY2" s="1"/>
      <c r="AZ2" s="1"/>
      <c r="BA2" s="1"/>
      <c r="BF2" s="1"/>
      <c r="BG2" s="1"/>
      <c r="BH2" s="1"/>
      <c r="BI2" s="1"/>
      <c r="BJ2" s="1"/>
      <c r="BK2" s="1"/>
      <c r="BL2" s="1"/>
      <c r="BQ2" s="1"/>
      <c r="BR2" s="1"/>
      <c r="BS2" s="1"/>
      <c r="BT2" s="1"/>
      <c r="BU2" s="1"/>
      <c r="BV2" s="1"/>
    </row>
    <row r="3" spans="1:77" ht="21" customHeight="1" x14ac:dyDescent="0.25"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</row>
    <row r="4" spans="1:77" s="2" customFormat="1" ht="18" customHeight="1" x14ac:dyDescent="0.2">
      <c r="B4" s="301" t="s">
        <v>18</v>
      </c>
      <c r="C4" s="301"/>
      <c r="D4" s="33" t="s">
        <v>38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 t="s">
        <v>34</v>
      </c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 t="s">
        <v>26</v>
      </c>
      <c r="AL4" s="33"/>
      <c r="AM4" s="33"/>
      <c r="AN4" s="33"/>
      <c r="AP4" s="33"/>
      <c r="AQ4" s="33"/>
      <c r="AR4" s="33"/>
      <c r="AS4" s="33"/>
      <c r="AZ4" s="33"/>
      <c r="BE4" s="33"/>
      <c r="BG4" s="33"/>
      <c r="BK4" s="33"/>
      <c r="BL4" s="33"/>
      <c r="BM4" s="33"/>
      <c r="BN4" s="33"/>
      <c r="BU4" s="33"/>
      <c r="BX4" s="33" t="s">
        <v>19</v>
      </c>
    </row>
    <row r="5" spans="1:77" ht="3" customHeigh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52"/>
      <c r="AU5" s="52"/>
      <c r="AV5" s="52"/>
      <c r="AW5" s="52"/>
      <c r="AY5" s="52"/>
      <c r="AZ5" s="52"/>
      <c r="BA5" s="52"/>
      <c r="BB5" s="52"/>
      <c r="BC5" s="52"/>
      <c r="BD5" s="52"/>
      <c r="BE5" s="52"/>
      <c r="BF5" s="1"/>
      <c r="BG5" s="1"/>
      <c r="BH5" s="1"/>
      <c r="BI5" s="1"/>
      <c r="BJ5" s="1"/>
      <c r="BK5" s="1"/>
      <c r="BL5" s="1"/>
      <c r="BM5" s="1"/>
      <c r="BN5" s="1"/>
      <c r="BO5" s="52"/>
      <c r="BP5" s="52"/>
      <c r="BQ5" s="52"/>
      <c r="BR5" s="52"/>
      <c r="BT5" s="52"/>
      <c r="BU5" s="52"/>
      <c r="BV5" s="52"/>
      <c r="BW5" s="52"/>
      <c r="BX5" s="52"/>
      <c r="BY5" s="52"/>
    </row>
    <row r="6" spans="1:77" s="2" customFormat="1" ht="23.25" customHeight="1" x14ac:dyDescent="0.2">
      <c r="A6" s="53"/>
      <c r="B6" s="241" t="s">
        <v>0</v>
      </c>
      <c r="C6" s="241" t="s">
        <v>17</v>
      </c>
      <c r="D6" s="257" t="s">
        <v>16</v>
      </c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  <c r="U6" s="258"/>
      <c r="V6" s="258"/>
      <c r="W6" s="258"/>
      <c r="X6" s="258"/>
      <c r="Y6" s="258"/>
      <c r="Z6" s="258"/>
      <c r="AA6" s="258"/>
      <c r="AB6" s="258"/>
      <c r="AC6" s="258"/>
      <c r="AD6" s="258"/>
      <c r="AE6" s="258"/>
      <c r="AF6" s="258"/>
      <c r="AG6" s="258"/>
      <c r="AH6" s="258"/>
      <c r="AI6" s="258"/>
      <c r="AJ6" s="258"/>
      <c r="AK6" s="258"/>
      <c r="AL6" s="258"/>
      <c r="AM6" s="258"/>
      <c r="AN6" s="258"/>
      <c r="AO6" s="258"/>
      <c r="AP6" s="258"/>
      <c r="AQ6" s="258"/>
      <c r="AR6" s="258"/>
      <c r="AS6" s="258"/>
      <c r="AT6" s="258"/>
      <c r="AU6" s="258"/>
      <c r="AV6" s="258"/>
      <c r="AW6" s="258"/>
      <c r="AX6" s="258"/>
      <c r="AY6" s="258"/>
      <c r="AZ6" s="258"/>
      <c r="BA6" s="258"/>
      <c r="BB6" s="258"/>
      <c r="BC6" s="258"/>
      <c r="BD6" s="258"/>
      <c r="BE6" s="258"/>
      <c r="BF6" s="258"/>
      <c r="BG6" s="258"/>
      <c r="BH6" s="258"/>
      <c r="BI6" s="258"/>
      <c r="BJ6" s="258"/>
      <c r="BK6" s="258"/>
      <c r="BL6" s="258"/>
      <c r="BM6" s="258"/>
      <c r="BN6" s="258"/>
      <c r="BO6" s="258"/>
      <c r="BP6" s="258"/>
      <c r="BQ6" s="258"/>
      <c r="BR6" s="258"/>
      <c r="BS6" s="258"/>
      <c r="BT6" s="258"/>
      <c r="BU6" s="258"/>
      <c r="BV6" s="258"/>
      <c r="BW6" s="258"/>
      <c r="BX6" s="258"/>
      <c r="BY6" s="259"/>
    </row>
    <row r="7" spans="1:77" s="2" customFormat="1" ht="23.25" customHeight="1" x14ac:dyDescent="0.2">
      <c r="A7" s="53"/>
      <c r="B7" s="241"/>
      <c r="C7" s="241"/>
      <c r="D7" s="38">
        <v>1</v>
      </c>
      <c r="E7" s="38">
        <v>2</v>
      </c>
      <c r="F7" s="38">
        <v>3</v>
      </c>
      <c r="G7" s="38">
        <v>4</v>
      </c>
      <c r="H7" s="38">
        <v>5</v>
      </c>
      <c r="I7" s="38">
        <f>1+H7</f>
        <v>6</v>
      </c>
      <c r="J7" s="38">
        <f t="shared" ref="J7:BU7" si="0">1+I7</f>
        <v>7</v>
      </c>
      <c r="K7" s="38">
        <f t="shared" si="0"/>
        <v>8</v>
      </c>
      <c r="L7" s="38">
        <f t="shared" si="0"/>
        <v>9</v>
      </c>
      <c r="M7" s="38">
        <f t="shared" si="0"/>
        <v>10</v>
      </c>
      <c r="N7" s="38">
        <f t="shared" si="0"/>
        <v>11</v>
      </c>
      <c r="O7" s="38">
        <f t="shared" si="0"/>
        <v>12</v>
      </c>
      <c r="P7" s="38">
        <f t="shared" si="0"/>
        <v>13</v>
      </c>
      <c r="Q7" s="38">
        <f t="shared" si="0"/>
        <v>14</v>
      </c>
      <c r="R7" s="38">
        <f t="shared" si="0"/>
        <v>15</v>
      </c>
      <c r="S7" s="38">
        <f t="shared" si="0"/>
        <v>16</v>
      </c>
      <c r="T7" s="38">
        <f t="shared" si="0"/>
        <v>17</v>
      </c>
      <c r="U7" s="38">
        <f t="shared" si="0"/>
        <v>18</v>
      </c>
      <c r="V7" s="38">
        <f t="shared" si="0"/>
        <v>19</v>
      </c>
      <c r="W7" s="38">
        <f t="shared" si="0"/>
        <v>20</v>
      </c>
      <c r="X7" s="38">
        <f t="shared" si="0"/>
        <v>21</v>
      </c>
      <c r="Y7" s="38">
        <f t="shared" si="0"/>
        <v>22</v>
      </c>
      <c r="Z7" s="38">
        <f t="shared" si="0"/>
        <v>23</v>
      </c>
      <c r="AA7" s="38">
        <f t="shared" si="0"/>
        <v>24</v>
      </c>
      <c r="AB7" s="38">
        <f t="shared" si="0"/>
        <v>25</v>
      </c>
      <c r="AC7" s="38">
        <f t="shared" si="0"/>
        <v>26</v>
      </c>
      <c r="AD7" s="38">
        <f t="shared" si="0"/>
        <v>27</v>
      </c>
      <c r="AE7" s="38">
        <f t="shared" si="0"/>
        <v>28</v>
      </c>
      <c r="AF7" s="38">
        <f t="shared" si="0"/>
        <v>29</v>
      </c>
      <c r="AG7" s="38">
        <f t="shared" si="0"/>
        <v>30</v>
      </c>
      <c r="AH7" s="38">
        <f t="shared" si="0"/>
        <v>31</v>
      </c>
      <c r="AI7" s="38">
        <f t="shared" si="0"/>
        <v>32</v>
      </c>
      <c r="AJ7" s="38">
        <f t="shared" si="0"/>
        <v>33</v>
      </c>
      <c r="AK7" s="38">
        <f t="shared" si="0"/>
        <v>34</v>
      </c>
      <c r="AL7" s="38">
        <f t="shared" si="0"/>
        <v>35</v>
      </c>
      <c r="AM7" s="38">
        <f t="shared" si="0"/>
        <v>36</v>
      </c>
      <c r="AN7" s="38">
        <f t="shared" si="0"/>
        <v>37</v>
      </c>
      <c r="AO7" s="38">
        <f t="shared" si="0"/>
        <v>38</v>
      </c>
      <c r="AP7" s="38">
        <f t="shared" si="0"/>
        <v>39</v>
      </c>
      <c r="AQ7" s="38">
        <f t="shared" si="0"/>
        <v>40</v>
      </c>
      <c r="AR7" s="38">
        <f t="shared" si="0"/>
        <v>41</v>
      </c>
      <c r="AS7" s="38">
        <f t="shared" si="0"/>
        <v>42</v>
      </c>
      <c r="AT7" s="38">
        <f t="shared" si="0"/>
        <v>43</v>
      </c>
      <c r="AU7" s="38">
        <f t="shared" si="0"/>
        <v>44</v>
      </c>
      <c r="AV7" s="38">
        <f t="shared" si="0"/>
        <v>45</v>
      </c>
      <c r="AW7" s="38">
        <f t="shared" si="0"/>
        <v>46</v>
      </c>
      <c r="AX7" s="38">
        <f t="shared" si="0"/>
        <v>47</v>
      </c>
      <c r="AY7" s="38">
        <f t="shared" si="0"/>
        <v>48</v>
      </c>
      <c r="AZ7" s="38">
        <f t="shared" si="0"/>
        <v>49</v>
      </c>
      <c r="BA7" s="38">
        <f t="shared" si="0"/>
        <v>50</v>
      </c>
      <c r="BB7" s="38">
        <f t="shared" si="0"/>
        <v>51</v>
      </c>
      <c r="BC7" s="38">
        <f t="shared" si="0"/>
        <v>52</v>
      </c>
      <c r="BD7" s="38">
        <f t="shared" si="0"/>
        <v>53</v>
      </c>
      <c r="BE7" s="38">
        <f t="shared" si="0"/>
        <v>54</v>
      </c>
      <c r="BF7" s="38">
        <f t="shared" si="0"/>
        <v>55</v>
      </c>
      <c r="BG7" s="38">
        <f t="shared" si="0"/>
        <v>56</v>
      </c>
      <c r="BH7" s="38">
        <f t="shared" si="0"/>
        <v>57</v>
      </c>
      <c r="BI7" s="38">
        <f t="shared" si="0"/>
        <v>58</v>
      </c>
      <c r="BJ7" s="38">
        <f t="shared" si="0"/>
        <v>59</v>
      </c>
      <c r="BK7" s="38">
        <f t="shared" si="0"/>
        <v>60</v>
      </c>
      <c r="BL7" s="38">
        <f t="shared" si="0"/>
        <v>61</v>
      </c>
      <c r="BM7" s="38">
        <f t="shared" si="0"/>
        <v>62</v>
      </c>
      <c r="BN7" s="38">
        <f t="shared" si="0"/>
        <v>63</v>
      </c>
      <c r="BO7" s="38">
        <f t="shared" si="0"/>
        <v>64</v>
      </c>
      <c r="BP7" s="38">
        <f t="shared" si="0"/>
        <v>65</v>
      </c>
      <c r="BQ7" s="38">
        <f t="shared" si="0"/>
        <v>66</v>
      </c>
      <c r="BR7" s="38">
        <f t="shared" si="0"/>
        <v>67</v>
      </c>
      <c r="BS7" s="38">
        <f t="shared" si="0"/>
        <v>68</v>
      </c>
      <c r="BT7" s="38">
        <f t="shared" si="0"/>
        <v>69</v>
      </c>
      <c r="BU7" s="38">
        <f t="shared" si="0"/>
        <v>70</v>
      </c>
      <c r="BV7" s="38">
        <f>1+BU7</f>
        <v>71</v>
      </c>
      <c r="BW7" s="38">
        <f>1+BV7</f>
        <v>72</v>
      </c>
      <c r="BX7" s="38">
        <f>1+BW7</f>
        <v>73</v>
      </c>
      <c r="BY7" s="38">
        <f>1+BX7</f>
        <v>74</v>
      </c>
    </row>
    <row r="8" spans="1:77" s="2" customFormat="1" ht="23.25" customHeight="1" x14ac:dyDescent="0.2">
      <c r="A8" s="53"/>
      <c r="B8" s="241"/>
      <c r="C8" s="241"/>
      <c r="D8" s="39">
        <v>46115</v>
      </c>
      <c r="E8" s="39">
        <v>46116</v>
      </c>
      <c r="F8" s="39">
        <v>46118</v>
      </c>
      <c r="G8" s="39">
        <v>46119</v>
      </c>
      <c r="H8" s="39">
        <v>46120</v>
      </c>
      <c r="I8" s="39">
        <v>46121</v>
      </c>
      <c r="J8" s="39">
        <v>46122</v>
      </c>
      <c r="K8" s="39">
        <v>46123</v>
      </c>
      <c r="L8" s="39">
        <v>46125</v>
      </c>
      <c r="M8" s="39">
        <v>46126</v>
      </c>
      <c r="N8" s="39">
        <v>46127</v>
      </c>
      <c r="O8" s="39">
        <v>46128</v>
      </c>
      <c r="P8" s="39">
        <v>46129</v>
      </c>
      <c r="Q8" s="39">
        <v>46130</v>
      </c>
      <c r="R8" s="39">
        <v>46132</v>
      </c>
      <c r="S8" s="39">
        <v>46133</v>
      </c>
      <c r="T8" s="39">
        <v>46134</v>
      </c>
      <c r="U8" s="39">
        <v>46135</v>
      </c>
      <c r="V8" s="39">
        <v>46136</v>
      </c>
      <c r="W8" s="39">
        <v>46137</v>
      </c>
      <c r="X8" s="39">
        <v>46138</v>
      </c>
      <c r="Y8" s="39">
        <v>46139</v>
      </c>
      <c r="Z8" s="39">
        <v>46140</v>
      </c>
      <c r="AA8" s="39">
        <v>46141</v>
      </c>
      <c r="AB8" s="39">
        <v>46142</v>
      </c>
      <c r="AC8" s="39">
        <v>46143</v>
      </c>
      <c r="AD8" s="39">
        <v>46144</v>
      </c>
      <c r="AE8" s="39">
        <v>46145</v>
      </c>
      <c r="AF8" s="39">
        <v>46146</v>
      </c>
      <c r="AG8" s="39">
        <v>46147</v>
      </c>
      <c r="AH8" s="39">
        <v>46148</v>
      </c>
      <c r="AI8" s="39">
        <v>46149</v>
      </c>
      <c r="AJ8" s="39">
        <v>46150</v>
      </c>
      <c r="AK8" s="39">
        <v>46151</v>
      </c>
      <c r="AL8" s="39">
        <v>46152</v>
      </c>
      <c r="AM8" s="39">
        <v>46153</v>
      </c>
      <c r="AN8" s="39">
        <v>46154</v>
      </c>
      <c r="AO8" s="39">
        <v>46155</v>
      </c>
      <c r="AP8" s="39">
        <v>46156</v>
      </c>
      <c r="AQ8" s="39">
        <v>46157</v>
      </c>
      <c r="AR8" s="39">
        <v>46158</v>
      </c>
      <c r="AS8" s="39">
        <v>46159</v>
      </c>
      <c r="AT8" s="39">
        <v>46160</v>
      </c>
      <c r="AU8" s="39">
        <v>46161</v>
      </c>
      <c r="AV8" s="39">
        <v>46162</v>
      </c>
      <c r="AW8" s="39">
        <v>46163</v>
      </c>
      <c r="AX8" s="39">
        <v>46164</v>
      </c>
      <c r="AY8" s="39">
        <v>46165</v>
      </c>
      <c r="AZ8" s="39">
        <v>46166</v>
      </c>
      <c r="BA8" s="39">
        <v>46167</v>
      </c>
      <c r="BB8" s="39">
        <v>46168</v>
      </c>
      <c r="BC8" s="39">
        <v>46169</v>
      </c>
      <c r="BD8" s="39">
        <v>46170</v>
      </c>
      <c r="BE8" s="39">
        <v>46171</v>
      </c>
      <c r="BF8" s="39">
        <v>46172</v>
      </c>
      <c r="BG8" s="39">
        <v>46173</v>
      </c>
      <c r="BH8" s="39">
        <v>46174</v>
      </c>
      <c r="BI8" s="39">
        <v>46175</v>
      </c>
      <c r="BJ8" s="39">
        <v>46176</v>
      </c>
      <c r="BK8" s="39">
        <v>46177</v>
      </c>
      <c r="BL8" s="39">
        <v>46178</v>
      </c>
      <c r="BM8" s="39">
        <v>46179</v>
      </c>
      <c r="BN8" s="39">
        <v>46180</v>
      </c>
      <c r="BO8" s="39">
        <v>46181</v>
      </c>
      <c r="BP8" s="39">
        <v>46182</v>
      </c>
      <c r="BQ8" s="39">
        <v>46183</v>
      </c>
      <c r="BR8" s="39">
        <v>46184</v>
      </c>
      <c r="BS8" s="39">
        <v>46185</v>
      </c>
      <c r="BT8" s="39">
        <v>46186</v>
      </c>
      <c r="BU8" s="39">
        <v>46187</v>
      </c>
      <c r="BV8" s="39">
        <v>46188</v>
      </c>
      <c r="BW8" s="39">
        <v>46189</v>
      </c>
      <c r="BX8" s="39">
        <v>46190</v>
      </c>
      <c r="BY8" s="39">
        <v>46191</v>
      </c>
    </row>
    <row r="9" spans="1:77" ht="23.25" customHeight="1" x14ac:dyDescent="0.25">
      <c r="A9" s="54"/>
      <c r="B9" s="262" t="s">
        <v>12</v>
      </c>
      <c r="C9" s="106" t="s">
        <v>10</v>
      </c>
      <c r="D9" s="24">
        <v>642</v>
      </c>
      <c r="E9" s="24">
        <v>0</v>
      </c>
      <c r="F9" s="24">
        <v>282</v>
      </c>
      <c r="G9" s="41">
        <v>0</v>
      </c>
      <c r="H9" s="24">
        <v>546</v>
      </c>
      <c r="I9" s="24">
        <v>0</v>
      </c>
      <c r="J9" s="24">
        <v>120</v>
      </c>
      <c r="K9" s="24">
        <v>0</v>
      </c>
      <c r="L9" s="24">
        <v>1410</v>
      </c>
      <c r="M9" s="24">
        <v>810</v>
      </c>
      <c r="N9" s="24">
        <v>858</v>
      </c>
      <c r="O9" s="42">
        <v>648</v>
      </c>
      <c r="P9" s="42">
        <v>450</v>
      </c>
      <c r="Q9" s="42">
        <v>180</v>
      </c>
      <c r="R9" s="41">
        <v>300</v>
      </c>
      <c r="S9" s="41">
        <v>500</v>
      </c>
      <c r="T9" s="41"/>
      <c r="U9" s="41"/>
      <c r="V9" s="42"/>
      <c r="W9" s="41"/>
      <c r="X9" s="42"/>
      <c r="Y9" s="42"/>
      <c r="Z9" s="43"/>
      <c r="AA9" s="43"/>
      <c r="AB9" s="41"/>
      <c r="AC9" s="41"/>
      <c r="AD9" s="41"/>
      <c r="AE9" s="41"/>
      <c r="AF9" s="42"/>
      <c r="AG9" s="41"/>
      <c r="AH9" s="42"/>
      <c r="AI9" s="44"/>
      <c r="AJ9" s="42"/>
      <c r="AK9" s="42"/>
      <c r="AL9" s="42"/>
      <c r="AM9" s="42"/>
      <c r="AN9" s="41"/>
      <c r="AO9" s="41"/>
      <c r="AP9" s="41"/>
      <c r="AQ9" s="41"/>
      <c r="AR9" s="42"/>
      <c r="AS9" s="41"/>
      <c r="AT9" s="42"/>
      <c r="AU9" s="42"/>
      <c r="AV9" s="42"/>
      <c r="AW9" s="42"/>
      <c r="AX9" s="42"/>
      <c r="AY9" s="41"/>
      <c r="AZ9" s="41"/>
      <c r="BA9" s="41"/>
      <c r="BB9" s="42"/>
      <c r="BC9" s="41"/>
      <c r="BD9" s="42"/>
      <c r="BE9" s="42"/>
      <c r="BF9" s="88"/>
      <c r="BG9" s="88"/>
      <c r="BH9" s="42"/>
      <c r="BI9" s="41"/>
      <c r="BJ9" s="41"/>
      <c r="BK9" s="41"/>
      <c r="BL9" s="41"/>
      <c r="BM9" s="42"/>
      <c r="BN9" s="41"/>
      <c r="BO9" s="42"/>
      <c r="BP9" s="42"/>
      <c r="BQ9" s="42"/>
      <c r="BR9" s="42"/>
      <c r="BS9" s="42"/>
      <c r="BT9" s="41"/>
      <c r="BU9" s="41"/>
      <c r="BV9" s="41"/>
      <c r="BW9" s="42"/>
      <c r="BX9" s="41"/>
      <c r="BY9" s="42"/>
    </row>
    <row r="10" spans="1:77" ht="23.25" customHeight="1" x14ac:dyDescent="0.25">
      <c r="A10" s="54"/>
      <c r="B10" s="262"/>
      <c r="C10" s="106" t="s">
        <v>6</v>
      </c>
      <c r="D10" s="45">
        <f>D9/8</f>
        <v>80.25</v>
      </c>
      <c r="E10" s="45">
        <f>E9/8</f>
        <v>0</v>
      </c>
      <c r="F10" s="45">
        <f>F9/10</f>
        <v>28.2</v>
      </c>
      <c r="G10" s="45">
        <f>G9/8</f>
        <v>0</v>
      </c>
      <c r="H10" s="45">
        <f>+H9/8</f>
        <v>68.25</v>
      </c>
      <c r="I10" s="45">
        <f>+I9/8</f>
        <v>0</v>
      </c>
      <c r="J10" s="45">
        <f>J9/10</f>
        <v>12</v>
      </c>
      <c r="K10" s="46">
        <f>K9/10</f>
        <v>0</v>
      </c>
      <c r="L10" s="45">
        <f>L9/8</f>
        <v>176.25</v>
      </c>
      <c r="M10" s="45">
        <f>M9/8</f>
        <v>101.25</v>
      </c>
      <c r="N10" s="45">
        <f>+N9/8</f>
        <v>107.25</v>
      </c>
      <c r="O10" s="45">
        <f>O9/8</f>
        <v>81</v>
      </c>
      <c r="P10" s="45">
        <f>P9/8</f>
        <v>56.25</v>
      </c>
      <c r="Q10" s="45">
        <f>Q9/8</f>
        <v>22.5</v>
      </c>
      <c r="R10" s="45">
        <f>R9/8</f>
        <v>37.5</v>
      </c>
      <c r="S10" s="45">
        <f>S9/8</f>
        <v>62.5</v>
      </c>
      <c r="T10" s="45">
        <f t="shared" ref="T10:Y10" si="1">SUM(T9:T9)/8</f>
        <v>0</v>
      </c>
      <c r="U10" s="45">
        <f t="shared" si="1"/>
        <v>0</v>
      </c>
      <c r="V10" s="45">
        <f t="shared" si="1"/>
        <v>0</v>
      </c>
      <c r="W10" s="45">
        <f t="shared" si="1"/>
        <v>0</v>
      </c>
      <c r="X10" s="45">
        <f t="shared" si="1"/>
        <v>0</v>
      </c>
      <c r="Y10" s="45">
        <f t="shared" si="1"/>
        <v>0</v>
      </c>
      <c r="Z10" s="45">
        <f>Z9/8</f>
        <v>0</v>
      </c>
      <c r="AA10" s="45">
        <f>AA9/8</f>
        <v>0</v>
      </c>
      <c r="AB10" s="45">
        <f>AB9/8</f>
        <v>0</v>
      </c>
      <c r="AC10" s="45">
        <f>AC9/10</f>
        <v>0</v>
      </c>
      <c r="AD10" s="45">
        <f>AD9/8</f>
        <v>0</v>
      </c>
      <c r="AE10" s="45">
        <f>+AE9/8</f>
        <v>0</v>
      </c>
      <c r="AF10" s="45">
        <f>+AF9/8</f>
        <v>0</v>
      </c>
      <c r="AG10" s="45">
        <f>AG9/9</f>
        <v>0</v>
      </c>
      <c r="AH10" s="45">
        <f>AH9/8</f>
        <v>0</v>
      </c>
      <c r="AI10" s="45">
        <f>AI9/8</f>
        <v>0</v>
      </c>
      <c r="AJ10" s="45">
        <f>SUM(AJ9:AJ9)/8</f>
        <v>0</v>
      </c>
      <c r="AK10" s="45">
        <f>AK9/8</f>
        <v>0</v>
      </c>
      <c r="AL10" s="45">
        <f>AL9/8</f>
        <v>0</v>
      </c>
      <c r="AM10" s="45">
        <f>AM9/8</f>
        <v>0</v>
      </c>
      <c r="AN10" s="45">
        <f>AN9/8</f>
        <v>0</v>
      </c>
      <c r="AO10" s="45">
        <f>AO9/8</f>
        <v>0</v>
      </c>
      <c r="AP10" s="45">
        <f>AP9/9</f>
        <v>0</v>
      </c>
      <c r="AQ10" s="45">
        <f>AQ9/5</f>
        <v>0</v>
      </c>
      <c r="AR10" s="45">
        <f>AR9/9</f>
        <v>0</v>
      </c>
      <c r="AS10" s="45">
        <f>AS9/10</f>
        <v>0</v>
      </c>
      <c r="AT10" s="45">
        <f>AT9/8</f>
        <v>0</v>
      </c>
      <c r="AU10" s="45">
        <f>AU9/7</f>
        <v>0</v>
      </c>
      <c r="AV10" s="45">
        <f>AV9/9</f>
        <v>0</v>
      </c>
      <c r="AW10" s="45">
        <f>AW9/9</f>
        <v>0</v>
      </c>
      <c r="AX10" s="45">
        <f>AX9/9</f>
        <v>0</v>
      </c>
      <c r="AY10" s="45">
        <f>AY9/9</f>
        <v>0</v>
      </c>
      <c r="AZ10" s="45">
        <f>AZ9/8</f>
        <v>0</v>
      </c>
      <c r="BA10" s="45">
        <f>BA9/5</f>
        <v>0</v>
      </c>
      <c r="BB10" s="45">
        <f t="shared" ref="BB10:BI10" si="2">BB9/8</f>
        <v>0</v>
      </c>
      <c r="BC10" s="45">
        <f t="shared" si="2"/>
        <v>0</v>
      </c>
      <c r="BD10" s="45">
        <f t="shared" si="2"/>
        <v>0</v>
      </c>
      <c r="BE10" s="45">
        <f t="shared" si="2"/>
        <v>0</v>
      </c>
      <c r="BF10" s="45">
        <f t="shared" si="2"/>
        <v>0</v>
      </c>
      <c r="BG10" s="45">
        <f t="shared" si="2"/>
        <v>0</v>
      </c>
      <c r="BH10" s="45">
        <f t="shared" si="2"/>
        <v>0</v>
      </c>
      <c r="BI10" s="45">
        <f t="shared" si="2"/>
        <v>0</v>
      </c>
      <c r="BJ10" s="45">
        <f>BJ9/8</f>
        <v>0</v>
      </c>
      <c r="BK10" s="45">
        <f>BK9/8</f>
        <v>0</v>
      </c>
      <c r="BL10" s="45">
        <f>BL9/8</f>
        <v>0</v>
      </c>
      <c r="BM10" s="45">
        <f>BM9/8</f>
        <v>0</v>
      </c>
      <c r="BN10" s="45">
        <f t="shared" ref="BN10:BY10" si="3">BN9/9</f>
        <v>0</v>
      </c>
      <c r="BO10" s="45">
        <f t="shared" si="3"/>
        <v>0</v>
      </c>
      <c r="BP10" s="45">
        <f t="shared" si="3"/>
        <v>0</v>
      </c>
      <c r="BQ10" s="45">
        <f t="shared" si="3"/>
        <v>0</v>
      </c>
      <c r="BR10" s="45">
        <f>BR9/7</f>
        <v>0</v>
      </c>
      <c r="BS10" s="45">
        <f>BS9/10</f>
        <v>0</v>
      </c>
      <c r="BT10" s="46">
        <f>BT9/10</f>
        <v>0</v>
      </c>
      <c r="BU10" s="45">
        <f t="shared" si="3"/>
        <v>0</v>
      </c>
      <c r="BV10" s="45">
        <f t="shared" si="3"/>
        <v>0</v>
      </c>
      <c r="BW10" s="45">
        <f t="shared" si="3"/>
        <v>0</v>
      </c>
      <c r="BX10" s="45">
        <f t="shared" si="3"/>
        <v>0</v>
      </c>
      <c r="BY10" s="45">
        <f t="shared" si="3"/>
        <v>0</v>
      </c>
    </row>
    <row r="11" spans="1:77" s="12" customFormat="1" ht="23.25" customHeight="1" x14ac:dyDescent="0.25">
      <c r="A11" s="55"/>
      <c r="B11" s="238" t="s">
        <v>9</v>
      </c>
      <c r="C11" s="106" t="str">
        <f>C9</f>
        <v>Output/Day</v>
      </c>
      <c r="D11" s="24"/>
      <c r="E11" s="24"/>
      <c r="F11" s="24"/>
      <c r="G11" s="47"/>
      <c r="H11" s="24"/>
      <c r="I11" s="24"/>
      <c r="J11" s="24"/>
      <c r="K11" s="24"/>
      <c r="L11" s="24"/>
      <c r="M11" s="24"/>
      <c r="N11" s="24">
        <v>84</v>
      </c>
      <c r="O11" s="48">
        <v>96</v>
      </c>
      <c r="P11" s="48">
        <v>162</v>
      </c>
      <c r="Q11" s="47"/>
      <c r="R11" s="47">
        <v>384</v>
      </c>
      <c r="S11" s="47">
        <v>336</v>
      </c>
      <c r="T11" s="47"/>
      <c r="U11" s="47"/>
      <c r="V11" s="48"/>
      <c r="W11" s="47"/>
      <c r="X11" s="48"/>
      <c r="Y11" s="48"/>
      <c r="Z11" s="47"/>
      <c r="AA11" s="47"/>
      <c r="AB11" s="47"/>
      <c r="AC11" s="47"/>
      <c r="AD11" s="47"/>
      <c r="AE11" s="47"/>
      <c r="AF11" s="48"/>
      <c r="AG11" s="48"/>
      <c r="AH11" s="48"/>
      <c r="AI11" s="48"/>
      <c r="AJ11" s="48"/>
      <c r="AK11" s="48"/>
      <c r="AL11" s="48"/>
      <c r="AM11" s="47"/>
      <c r="AN11" s="47"/>
      <c r="AO11" s="47"/>
      <c r="AP11" s="47"/>
      <c r="AQ11" s="47"/>
      <c r="AR11" s="48"/>
      <c r="AS11" s="47"/>
      <c r="AT11" s="48"/>
      <c r="AU11" s="48"/>
      <c r="AV11" s="48"/>
      <c r="AW11" s="48"/>
      <c r="AX11" s="47"/>
      <c r="AY11" s="47"/>
      <c r="AZ11" s="47"/>
      <c r="BA11" s="47"/>
      <c r="BB11" s="48"/>
      <c r="BC11" s="47"/>
      <c r="BD11" s="48"/>
      <c r="BE11" s="48"/>
      <c r="BF11" s="48"/>
      <c r="BG11" s="48"/>
      <c r="BH11" s="47"/>
      <c r="BI11" s="47"/>
      <c r="BJ11" s="47"/>
      <c r="BK11" s="47"/>
      <c r="BL11" s="47"/>
      <c r="BM11" s="48"/>
      <c r="BN11" s="47"/>
      <c r="BO11" s="48"/>
      <c r="BP11" s="48"/>
      <c r="BQ11" s="48"/>
      <c r="BR11" s="48"/>
      <c r="BS11" s="47"/>
      <c r="BT11" s="47"/>
      <c r="BU11" s="47"/>
      <c r="BV11" s="47"/>
      <c r="BW11" s="48"/>
      <c r="BX11" s="47"/>
      <c r="BY11" s="48"/>
    </row>
    <row r="12" spans="1:77" ht="23.25" customHeight="1" x14ac:dyDescent="0.25">
      <c r="A12" s="54"/>
      <c r="B12" s="238"/>
      <c r="C12" s="106" t="s">
        <v>6</v>
      </c>
      <c r="D12" s="45">
        <f>D11/9</f>
        <v>0</v>
      </c>
      <c r="E12" s="45">
        <f>E11/9</f>
        <v>0</v>
      </c>
      <c r="F12" s="45">
        <f>F11/10</f>
        <v>0</v>
      </c>
      <c r="G12" s="45">
        <f>G11/9</f>
        <v>0</v>
      </c>
      <c r="H12" s="45">
        <f>+H11/9</f>
        <v>0</v>
      </c>
      <c r="I12" s="45">
        <f>+I11/9</f>
        <v>0</v>
      </c>
      <c r="J12" s="45">
        <f>J11/10</f>
        <v>0</v>
      </c>
      <c r="K12" s="45">
        <f>K11/10</f>
        <v>0</v>
      </c>
      <c r="L12" s="45">
        <f>L11/10</f>
        <v>0</v>
      </c>
      <c r="M12" s="45">
        <f>M11/10</f>
        <v>0</v>
      </c>
      <c r="N12" s="45">
        <f>+N11/8</f>
        <v>10.5</v>
      </c>
      <c r="O12" s="45">
        <f>O11/8</f>
        <v>12</v>
      </c>
      <c r="P12" s="45">
        <f>P11/8</f>
        <v>20.25</v>
      </c>
      <c r="Q12" s="45">
        <f>Q11/8</f>
        <v>0</v>
      </c>
      <c r="R12" s="45">
        <f>R11/8</f>
        <v>48</v>
      </c>
      <c r="S12" s="45">
        <f>S11/8</f>
        <v>42</v>
      </c>
      <c r="T12" s="45">
        <f t="shared" ref="T12:Y12" si="4">SUM(T11:T11)/8</f>
        <v>0</v>
      </c>
      <c r="U12" s="45">
        <f t="shared" si="4"/>
        <v>0</v>
      </c>
      <c r="V12" s="45">
        <f t="shared" si="4"/>
        <v>0</v>
      </c>
      <c r="W12" s="45">
        <f t="shared" si="4"/>
        <v>0</v>
      </c>
      <c r="X12" s="45">
        <f t="shared" si="4"/>
        <v>0</v>
      </c>
      <c r="Y12" s="45">
        <f t="shared" si="4"/>
        <v>0</v>
      </c>
      <c r="Z12" s="45">
        <f>Z11/9</f>
        <v>0</v>
      </c>
      <c r="AA12" s="45">
        <f>AA11/9</f>
        <v>0</v>
      </c>
      <c r="AB12" s="45">
        <f>AB11/9</f>
        <v>0</v>
      </c>
      <c r="AC12" s="45">
        <f>AC11/10</f>
        <v>0</v>
      </c>
      <c r="AD12" s="45">
        <f>AD11/9</f>
        <v>0</v>
      </c>
      <c r="AE12" s="45">
        <f>+AE11/9</f>
        <v>0</v>
      </c>
      <c r="AF12" s="45">
        <f>+AF11/9</f>
        <v>0</v>
      </c>
      <c r="AG12" s="45">
        <f>AG11/9</f>
        <v>0</v>
      </c>
      <c r="AH12" s="45">
        <f>AH11/9</f>
        <v>0</v>
      </c>
      <c r="AI12" s="45">
        <f>AI11/9</f>
        <v>0</v>
      </c>
      <c r="AJ12" s="45">
        <f>AJ11/9</f>
        <v>0</v>
      </c>
      <c r="AK12" s="45">
        <f>AK11/9</f>
        <v>0</v>
      </c>
      <c r="AL12" s="45">
        <f>AL11/10</f>
        <v>0</v>
      </c>
      <c r="AM12" s="45">
        <f t="shared" ref="AM12:AT12" si="5">AM11/9</f>
        <v>0</v>
      </c>
      <c r="AN12" s="45">
        <f>AN11/10</f>
        <v>0</v>
      </c>
      <c r="AO12" s="45">
        <f t="shared" si="5"/>
        <v>0</v>
      </c>
      <c r="AP12" s="45">
        <f t="shared" si="5"/>
        <v>0</v>
      </c>
      <c r="AQ12" s="45">
        <f>AQ11/7</f>
        <v>0</v>
      </c>
      <c r="AR12" s="45">
        <f>AR11/10</f>
        <v>0</v>
      </c>
      <c r="AS12" s="45">
        <f>AS11/10</f>
        <v>0</v>
      </c>
      <c r="AT12" s="45">
        <f t="shared" si="5"/>
        <v>0</v>
      </c>
      <c r="AU12" s="45">
        <f>AU11/7</f>
        <v>0</v>
      </c>
      <c r="AV12" s="45">
        <f>AV11/10</f>
        <v>0</v>
      </c>
      <c r="AW12" s="45">
        <f>AW11/10</f>
        <v>0</v>
      </c>
      <c r="AX12" s="45">
        <f>AX11/10</f>
        <v>0</v>
      </c>
      <c r="AY12" s="45">
        <f>AY11/10</f>
        <v>0</v>
      </c>
      <c r="AZ12" s="45">
        <f>AZ11/10</f>
        <v>0</v>
      </c>
      <c r="BA12" s="45">
        <f>BA11/7</f>
        <v>0</v>
      </c>
      <c r="BB12" s="45">
        <f t="shared" ref="BB12:BH12" si="6">BB11/10</f>
        <v>0</v>
      </c>
      <c r="BC12" s="45">
        <f t="shared" si="6"/>
        <v>0</v>
      </c>
      <c r="BD12" s="45">
        <f t="shared" si="6"/>
        <v>0</v>
      </c>
      <c r="BE12" s="45">
        <f t="shared" si="6"/>
        <v>0</v>
      </c>
      <c r="BF12" s="45">
        <f t="shared" si="6"/>
        <v>0</v>
      </c>
      <c r="BG12" s="45">
        <f t="shared" si="6"/>
        <v>0</v>
      </c>
      <c r="BH12" s="45">
        <f t="shared" si="6"/>
        <v>0</v>
      </c>
      <c r="BI12" s="45">
        <f>BI11/10</f>
        <v>0</v>
      </c>
      <c r="BJ12" s="45">
        <f>+BJ11/10</f>
        <v>0</v>
      </c>
      <c r="BK12" s="45">
        <f t="shared" ref="BK12:BY12" si="7">+BK11/10</f>
        <v>0</v>
      </c>
      <c r="BL12" s="45">
        <f t="shared" si="7"/>
        <v>0</v>
      </c>
      <c r="BM12" s="45">
        <f t="shared" si="7"/>
        <v>0</v>
      </c>
      <c r="BN12" s="45">
        <f t="shared" si="7"/>
        <v>0</v>
      </c>
      <c r="BO12" s="45">
        <f t="shared" si="7"/>
        <v>0</v>
      </c>
      <c r="BP12" s="45">
        <f t="shared" si="7"/>
        <v>0</v>
      </c>
      <c r="BQ12" s="45">
        <f t="shared" si="7"/>
        <v>0</v>
      </c>
      <c r="BR12" s="45">
        <f>+BR11/10</f>
        <v>0</v>
      </c>
      <c r="BS12" s="45">
        <f>+BS11/11</f>
        <v>0</v>
      </c>
      <c r="BT12" s="45">
        <f>+BT11/11</f>
        <v>0</v>
      </c>
      <c r="BU12" s="45">
        <f t="shared" si="7"/>
        <v>0</v>
      </c>
      <c r="BV12" s="45">
        <f t="shared" si="7"/>
        <v>0</v>
      </c>
      <c r="BW12" s="45">
        <f t="shared" si="7"/>
        <v>0</v>
      </c>
      <c r="BX12" s="45">
        <f t="shared" si="7"/>
        <v>0</v>
      </c>
      <c r="BY12" s="45">
        <f t="shared" si="7"/>
        <v>0</v>
      </c>
    </row>
    <row r="13" spans="1:77" s="12" customFormat="1" ht="23.25" customHeight="1" x14ac:dyDescent="0.25">
      <c r="A13" s="55"/>
      <c r="B13" s="238" t="s">
        <v>8</v>
      </c>
      <c r="C13" s="106" t="str">
        <f>C9</f>
        <v>Output/Day</v>
      </c>
      <c r="D13" s="24"/>
      <c r="E13" s="24"/>
      <c r="F13" s="24"/>
      <c r="G13" s="47"/>
      <c r="H13" s="24"/>
      <c r="I13" s="24"/>
      <c r="J13" s="24"/>
      <c r="K13" s="24"/>
      <c r="L13" s="24"/>
      <c r="M13" s="24"/>
      <c r="N13" s="24">
        <v>168</v>
      </c>
      <c r="O13" s="48">
        <v>222</v>
      </c>
      <c r="P13" s="48">
        <v>300</v>
      </c>
      <c r="Q13" s="47"/>
      <c r="R13" s="47">
        <v>348</v>
      </c>
      <c r="S13" s="47">
        <v>420</v>
      </c>
      <c r="T13" s="47"/>
      <c r="U13" s="47"/>
      <c r="V13" s="48"/>
      <c r="W13" s="47"/>
      <c r="X13" s="48"/>
      <c r="Y13" s="48"/>
      <c r="Z13" s="47"/>
      <c r="AA13" s="47"/>
      <c r="AB13" s="47"/>
      <c r="AC13" s="47"/>
      <c r="AD13" s="47"/>
      <c r="AE13" s="47"/>
      <c r="AF13" s="48"/>
      <c r="AG13" s="48"/>
      <c r="AH13" s="48"/>
      <c r="AI13" s="48"/>
      <c r="AJ13" s="48"/>
      <c r="AK13" s="48"/>
      <c r="AL13" s="48"/>
      <c r="AM13" s="47"/>
      <c r="AN13" s="47"/>
      <c r="AO13" s="47"/>
      <c r="AP13" s="47"/>
      <c r="AQ13" s="47"/>
      <c r="AR13" s="48"/>
      <c r="AS13" s="47"/>
      <c r="AT13" s="48"/>
      <c r="AU13" s="48"/>
      <c r="AV13" s="48"/>
      <c r="AW13" s="48"/>
      <c r="AX13" s="47"/>
      <c r="AY13" s="47"/>
      <c r="AZ13" s="47"/>
      <c r="BA13" s="47"/>
      <c r="BB13" s="48"/>
      <c r="BC13" s="47"/>
      <c r="BD13" s="48"/>
      <c r="BE13" s="48"/>
      <c r="BF13" s="48"/>
      <c r="BG13" s="48"/>
      <c r="BH13" s="47"/>
      <c r="BI13" s="47"/>
      <c r="BJ13" s="47"/>
      <c r="BK13" s="47"/>
      <c r="BL13" s="47"/>
      <c r="BM13" s="48"/>
      <c r="BN13" s="47"/>
      <c r="BO13" s="48"/>
      <c r="BP13" s="48"/>
      <c r="BQ13" s="48"/>
      <c r="BR13" s="48"/>
      <c r="BS13" s="47"/>
      <c r="BT13" s="47"/>
      <c r="BU13" s="47"/>
      <c r="BV13" s="47"/>
      <c r="BW13" s="48"/>
      <c r="BX13" s="47"/>
      <c r="BY13" s="48"/>
    </row>
    <row r="14" spans="1:77" ht="23.25" customHeight="1" x14ac:dyDescent="0.25">
      <c r="A14" s="54"/>
      <c r="B14" s="238"/>
      <c r="C14" s="106" t="s">
        <v>6</v>
      </c>
      <c r="D14" s="45">
        <f>D13/9</f>
        <v>0</v>
      </c>
      <c r="E14" s="45">
        <f>E13/9</f>
        <v>0</v>
      </c>
      <c r="F14" s="45">
        <f>F13/9</f>
        <v>0</v>
      </c>
      <c r="G14" s="45">
        <f t="shared" ref="G14:M14" si="8">G13/9</f>
        <v>0</v>
      </c>
      <c r="H14" s="45">
        <f>+H13/9</f>
        <v>0</v>
      </c>
      <c r="I14" s="45">
        <f>+I13/9</f>
        <v>0</v>
      </c>
      <c r="J14" s="45">
        <f t="shared" si="8"/>
        <v>0</v>
      </c>
      <c r="K14" s="45">
        <f t="shared" si="8"/>
        <v>0</v>
      </c>
      <c r="L14" s="45">
        <f t="shared" si="8"/>
        <v>0</v>
      </c>
      <c r="M14" s="45">
        <f t="shared" si="8"/>
        <v>0</v>
      </c>
      <c r="N14" s="45">
        <f>+N13/8</f>
        <v>21</v>
      </c>
      <c r="O14" s="45">
        <f>O13/8</f>
        <v>27.75</v>
      </c>
      <c r="P14" s="45">
        <f>P13/8</f>
        <v>37.5</v>
      </c>
      <c r="Q14" s="45">
        <f>Q13/8</f>
        <v>0</v>
      </c>
      <c r="R14" s="45">
        <f>R13/8</f>
        <v>43.5</v>
      </c>
      <c r="S14" s="45">
        <f>S13/8</f>
        <v>52.5</v>
      </c>
      <c r="T14" s="45">
        <f t="shared" ref="T14:Y14" si="9">SUM(T13:T13)/8</f>
        <v>0</v>
      </c>
      <c r="U14" s="45">
        <f t="shared" si="9"/>
        <v>0</v>
      </c>
      <c r="V14" s="45">
        <f t="shared" si="9"/>
        <v>0</v>
      </c>
      <c r="W14" s="45">
        <f t="shared" si="9"/>
        <v>0</v>
      </c>
      <c r="X14" s="45">
        <f t="shared" si="9"/>
        <v>0</v>
      </c>
      <c r="Y14" s="45">
        <f t="shared" si="9"/>
        <v>0</v>
      </c>
      <c r="Z14" s="45">
        <f>Z13/9</f>
        <v>0</v>
      </c>
      <c r="AA14" s="45">
        <f>AA13/9</f>
        <v>0</v>
      </c>
      <c r="AB14" s="45">
        <f>AB13/9</f>
        <v>0</v>
      </c>
      <c r="AC14" s="45">
        <f>AC13/9</f>
        <v>0</v>
      </c>
      <c r="AD14" s="45">
        <f>AD13/9</f>
        <v>0</v>
      </c>
      <c r="AE14" s="45">
        <f>+AE13/9</f>
        <v>0</v>
      </c>
      <c r="AF14" s="45">
        <f>+AF13/9</f>
        <v>0</v>
      </c>
      <c r="AG14" s="45">
        <f>AG13/9</f>
        <v>0</v>
      </c>
      <c r="AH14" s="45">
        <f>AH13/9</f>
        <v>0</v>
      </c>
      <c r="AI14" s="45">
        <f>AI13/9</f>
        <v>0</v>
      </c>
      <c r="AJ14" s="45">
        <f>AJ13/9</f>
        <v>0</v>
      </c>
      <c r="AK14" s="45">
        <f>AK13/9</f>
        <v>0</v>
      </c>
      <c r="AL14" s="45">
        <f>AL13/10</f>
        <v>0</v>
      </c>
      <c r="AM14" s="45">
        <f t="shared" ref="AM14:AT14" si="10">AM13/9</f>
        <v>0</v>
      </c>
      <c r="AN14" s="45">
        <f>AN13/10</f>
        <v>0</v>
      </c>
      <c r="AO14" s="45">
        <f t="shared" si="10"/>
        <v>0</v>
      </c>
      <c r="AP14" s="45">
        <f t="shared" si="10"/>
        <v>0</v>
      </c>
      <c r="AQ14" s="45">
        <f>AQ13/7</f>
        <v>0</v>
      </c>
      <c r="AR14" s="45">
        <f>AR13/10</f>
        <v>0</v>
      </c>
      <c r="AS14" s="45">
        <f>AS13/10</f>
        <v>0</v>
      </c>
      <c r="AT14" s="45">
        <f t="shared" si="10"/>
        <v>0</v>
      </c>
      <c r="AU14" s="45">
        <f>AU13/7</f>
        <v>0</v>
      </c>
      <c r="AV14" s="45">
        <f>AV13/10</f>
        <v>0</v>
      </c>
      <c r="AW14" s="45">
        <f>AW13/10</f>
        <v>0</v>
      </c>
      <c r="AX14" s="45">
        <f>AX13/10</f>
        <v>0</v>
      </c>
      <c r="AY14" s="45">
        <f>AY13/10</f>
        <v>0</v>
      </c>
      <c r="AZ14" s="45">
        <f>AZ13/10</f>
        <v>0</v>
      </c>
      <c r="BA14" s="45">
        <f>BA13/7</f>
        <v>0</v>
      </c>
      <c r="BB14" s="45">
        <f t="shared" ref="BB14:BH14" si="11">BB13/10</f>
        <v>0</v>
      </c>
      <c r="BC14" s="45">
        <f t="shared" si="11"/>
        <v>0</v>
      </c>
      <c r="BD14" s="45">
        <f t="shared" si="11"/>
        <v>0</v>
      </c>
      <c r="BE14" s="45">
        <f t="shared" si="11"/>
        <v>0</v>
      </c>
      <c r="BF14" s="45">
        <f t="shared" si="11"/>
        <v>0</v>
      </c>
      <c r="BG14" s="45">
        <f t="shared" si="11"/>
        <v>0</v>
      </c>
      <c r="BH14" s="45">
        <f t="shared" si="11"/>
        <v>0</v>
      </c>
      <c r="BI14" s="45">
        <f>BI13/10</f>
        <v>0</v>
      </c>
      <c r="BJ14" s="45">
        <f>BJ13/10</f>
        <v>0</v>
      </c>
      <c r="BK14" s="45">
        <f t="shared" ref="BK14:BY14" si="12">BK13/10</f>
        <v>0</v>
      </c>
      <c r="BL14" s="45">
        <f t="shared" si="12"/>
        <v>0</v>
      </c>
      <c r="BM14" s="45">
        <f t="shared" si="12"/>
        <v>0</v>
      </c>
      <c r="BN14" s="45">
        <f t="shared" si="12"/>
        <v>0</v>
      </c>
      <c r="BO14" s="45">
        <f t="shared" si="12"/>
        <v>0</v>
      </c>
      <c r="BP14" s="45">
        <f t="shared" si="12"/>
        <v>0</v>
      </c>
      <c r="BQ14" s="45">
        <f t="shared" si="12"/>
        <v>0</v>
      </c>
      <c r="BR14" s="45">
        <f>BR13/10</f>
        <v>0</v>
      </c>
      <c r="BS14" s="45">
        <f>BS13/11</f>
        <v>0</v>
      </c>
      <c r="BT14" s="45">
        <f>BT13/11</f>
        <v>0</v>
      </c>
      <c r="BU14" s="45">
        <f t="shared" si="12"/>
        <v>0</v>
      </c>
      <c r="BV14" s="45">
        <f t="shared" si="12"/>
        <v>0</v>
      </c>
      <c r="BW14" s="45">
        <f t="shared" si="12"/>
        <v>0</v>
      </c>
      <c r="BX14" s="45">
        <f t="shared" si="12"/>
        <v>0</v>
      </c>
      <c r="BY14" s="45">
        <f t="shared" si="12"/>
        <v>0</v>
      </c>
    </row>
    <row r="15" spans="1:77" s="13" customFormat="1" ht="23.25" customHeight="1" x14ac:dyDescent="0.3">
      <c r="A15" s="56"/>
      <c r="B15" s="238" t="s">
        <v>13</v>
      </c>
      <c r="C15" s="49" t="str">
        <f>C9</f>
        <v>Output/Day</v>
      </c>
      <c r="D15" s="41"/>
      <c r="E15" s="41"/>
      <c r="F15" s="41"/>
      <c r="G15" s="41"/>
      <c r="H15" s="24"/>
      <c r="I15" s="24"/>
      <c r="J15" s="24"/>
      <c r="K15" s="24"/>
      <c r="L15" s="24"/>
      <c r="M15" s="24"/>
      <c r="N15" s="24"/>
      <c r="O15" s="42"/>
      <c r="P15" s="42"/>
      <c r="Q15" s="41"/>
      <c r="R15" s="41"/>
      <c r="S15" s="41"/>
      <c r="T15" s="41"/>
      <c r="U15" s="41"/>
      <c r="V15" s="42"/>
      <c r="W15" s="41"/>
      <c r="X15" s="42"/>
      <c r="Y15" s="42"/>
      <c r="Z15" s="41"/>
      <c r="AA15" s="41"/>
      <c r="AB15" s="41"/>
      <c r="AC15" s="41"/>
      <c r="AD15" s="41"/>
      <c r="AE15" s="41"/>
      <c r="AF15" s="41"/>
      <c r="AG15" s="41"/>
      <c r="AH15" s="42"/>
      <c r="AI15" s="42"/>
      <c r="AJ15" s="42"/>
      <c r="AK15" s="42"/>
      <c r="AL15" s="42"/>
      <c r="AM15" s="41"/>
      <c r="AN15" s="41"/>
      <c r="AO15" s="41"/>
      <c r="AP15" s="41"/>
      <c r="AQ15" s="41"/>
      <c r="AR15" s="42"/>
      <c r="AS15" s="41"/>
      <c r="AT15" s="42"/>
      <c r="AU15" s="42"/>
      <c r="AV15" s="42"/>
      <c r="AW15" s="42"/>
      <c r="AX15" s="41"/>
      <c r="AY15" s="41"/>
      <c r="AZ15" s="41"/>
      <c r="BA15" s="41"/>
      <c r="BB15" s="42"/>
      <c r="BC15" s="41"/>
      <c r="BD15" s="42"/>
      <c r="BE15" s="88"/>
      <c r="BF15" s="88"/>
      <c r="BG15" s="88"/>
      <c r="BH15" s="41"/>
      <c r="BI15" s="41"/>
      <c r="BJ15" s="41"/>
      <c r="BK15" s="41"/>
      <c r="BL15" s="103"/>
      <c r="BM15" s="88"/>
      <c r="BN15" s="41"/>
      <c r="BO15" s="88"/>
      <c r="BP15" s="42"/>
      <c r="BQ15" s="42"/>
      <c r="BR15" s="42"/>
      <c r="BS15" s="103"/>
      <c r="BT15" s="103"/>
      <c r="BU15" s="41"/>
      <c r="BV15" s="41"/>
      <c r="BW15" s="42"/>
      <c r="BX15" s="41"/>
      <c r="BY15" s="42"/>
    </row>
    <row r="16" spans="1:77" ht="23.25" customHeight="1" x14ac:dyDescent="0.25">
      <c r="A16" s="54"/>
      <c r="B16" s="238"/>
      <c r="C16" s="106" t="s">
        <v>6</v>
      </c>
      <c r="D16" s="50">
        <f>D15/8</f>
        <v>0</v>
      </c>
      <c r="E16" s="50">
        <f>E15/8</f>
        <v>0</v>
      </c>
      <c r="F16" s="50">
        <f>F15/8</f>
        <v>0</v>
      </c>
      <c r="G16" s="50">
        <f>G15/8</f>
        <v>0</v>
      </c>
      <c r="H16" s="50">
        <f t="shared" ref="H16:M16" si="13">H15/8</f>
        <v>0</v>
      </c>
      <c r="I16" s="50">
        <f>+I15/8</f>
        <v>0</v>
      </c>
      <c r="J16" s="50">
        <f t="shared" si="13"/>
        <v>0</v>
      </c>
      <c r="K16" s="50">
        <f t="shared" si="13"/>
        <v>0</v>
      </c>
      <c r="L16" s="50">
        <f t="shared" si="13"/>
        <v>0</v>
      </c>
      <c r="M16" s="50">
        <f t="shared" si="13"/>
        <v>0</v>
      </c>
      <c r="N16" s="50">
        <f t="shared" ref="N16:Y16" si="14">SUM(N15:N15)/8</f>
        <v>0</v>
      </c>
      <c r="O16" s="50">
        <f t="shared" si="14"/>
        <v>0</v>
      </c>
      <c r="P16" s="50">
        <f t="shared" si="14"/>
        <v>0</v>
      </c>
      <c r="Q16" s="50">
        <f t="shared" si="14"/>
        <v>0</v>
      </c>
      <c r="R16" s="50">
        <f t="shared" si="14"/>
        <v>0</v>
      </c>
      <c r="S16" s="50">
        <f t="shared" si="14"/>
        <v>0</v>
      </c>
      <c r="T16" s="50">
        <f t="shared" si="14"/>
        <v>0</v>
      </c>
      <c r="U16" s="50">
        <f t="shared" si="14"/>
        <v>0</v>
      </c>
      <c r="V16" s="50">
        <f t="shared" si="14"/>
        <v>0</v>
      </c>
      <c r="W16" s="50">
        <f t="shared" si="14"/>
        <v>0</v>
      </c>
      <c r="X16" s="50">
        <f t="shared" si="14"/>
        <v>0</v>
      </c>
      <c r="Y16" s="50">
        <f t="shared" si="14"/>
        <v>0</v>
      </c>
      <c r="Z16" s="50">
        <f t="shared" ref="Z16:AE16" si="15">Z15/8</f>
        <v>0</v>
      </c>
      <c r="AA16" s="50">
        <f t="shared" si="15"/>
        <v>0</v>
      </c>
      <c r="AB16" s="50">
        <f t="shared" si="15"/>
        <v>0</v>
      </c>
      <c r="AC16" s="50">
        <f t="shared" si="15"/>
        <v>0</v>
      </c>
      <c r="AD16" s="50">
        <f t="shared" si="15"/>
        <v>0</v>
      </c>
      <c r="AE16" s="50">
        <f t="shared" si="15"/>
        <v>0</v>
      </c>
      <c r="AF16" s="50">
        <f>+AF15/8</f>
        <v>0</v>
      </c>
      <c r="AG16" s="50">
        <f>AG15/8</f>
        <v>0</v>
      </c>
      <c r="AH16" s="50">
        <f>AH15/8</f>
        <v>0</v>
      </c>
      <c r="AI16" s="50">
        <f>AI15/8</f>
        <v>0</v>
      </c>
      <c r="AJ16" s="50">
        <f>AJ15/8</f>
        <v>0</v>
      </c>
      <c r="AK16" s="50">
        <f>AK15/9</f>
        <v>0</v>
      </c>
      <c r="AL16" s="50">
        <f t="shared" ref="AL16:AT16" si="16">AL15/9</f>
        <v>0</v>
      </c>
      <c r="AM16" s="50">
        <f t="shared" si="16"/>
        <v>0</v>
      </c>
      <c r="AN16" s="50">
        <f t="shared" si="16"/>
        <v>0</v>
      </c>
      <c r="AO16" s="50">
        <f t="shared" si="16"/>
        <v>0</v>
      </c>
      <c r="AP16" s="50">
        <f t="shared" si="16"/>
        <v>0</v>
      </c>
      <c r="AQ16" s="50">
        <f>AQ15/5</f>
        <v>0</v>
      </c>
      <c r="AR16" s="50">
        <f t="shared" si="16"/>
        <v>0</v>
      </c>
      <c r="AS16" s="50">
        <f t="shared" si="16"/>
        <v>0</v>
      </c>
      <c r="AT16" s="50">
        <f t="shared" si="16"/>
        <v>0</v>
      </c>
      <c r="AU16" s="50">
        <f>AU15/5</f>
        <v>0</v>
      </c>
      <c r="AV16" s="50">
        <f>AV15/9</f>
        <v>0</v>
      </c>
      <c r="AW16" s="50">
        <f>AW15/9</f>
        <v>0</v>
      </c>
      <c r="AX16" s="50">
        <f>AX15/9</f>
        <v>0</v>
      </c>
      <c r="AY16" s="50">
        <f>AY15/9</f>
        <v>0</v>
      </c>
      <c r="AZ16" s="50">
        <f>AZ15/9</f>
        <v>0</v>
      </c>
      <c r="BA16" s="50">
        <f>BA15/7</f>
        <v>0</v>
      </c>
      <c r="BB16" s="50">
        <f>BB15/9</f>
        <v>0</v>
      </c>
      <c r="BC16" s="50">
        <f>BC15/10</f>
        <v>0</v>
      </c>
      <c r="BD16" s="50">
        <f>BD15/9</f>
        <v>0</v>
      </c>
      <c r="BE16" s="50">
        <f>BE15/9</f>
        <v>0</v>
      </c>
      <c r="BF16" s="50">
        <f>BF15/9</f>
        <v>0</v>
      </c>
      <c r="BG16" s="50">
        <f t="shared" ref="BG16:BY16" si="17">BG15/9</f>
        <v>0</v>
      </c>
      <c r="BH16" s="50">
        <f t="shared" si="17"/>
        <v>0</v>
      </c>
      <c r="BI16" s="50">
        <f t="shared" si="17"/>
        <v>0</v>
      </c>
      <c r="BJ16" s="50">
        <f t="shared" si="17"/>
        <v>0</v>
      </c>
      <c r="BK16" s="50">
        <f t="shared" si="17"/>
        <v>0</v>
      </c>
      <c r="BL16" s="50">
        <f>BL15/8</f>
        <v>0</v>
      </c>
      <c r="BM16" s="50">
        <f t="shared" si="17"/>
        <v>0</v>
      </c>
      <c r="BN16" s="50">
        <f t="shared" si="17"/>
        <v>0</v>
      </c>
      <c r="BO16" s="50">
        <f t="shared" si="17"/>
        <v>0</v>
      </c>
      <c r="BP16" s="50">
        <f t="shared" si="17"/>
        <v>0</v>
      </c>
      <c r="BQ16" s="50">
        <f t="shared" si="17"/>
        <v>0</v>
      </c>
      <c r="BR16" s="50">
        <f>BR15/7</f>
        <v>0</v>
      </c>
      <c r="BS16" s="50">
        <f>BS15/12</f>
        <v>0</v>
      </c>
      <c r="BT16" s="50">
        <f>BT15/11</f>
        <v>0</v>
      </c>
      <c r="BU16" s="50">
        <f t="shared" si="17"/>
        <v>0</v>
      </c>
      <c r="BV16" s="50">
        <f t="shared" si="17"/>
        <v>0</v>
      </c>
      <c r="BW16" s="50">
        <f t="shared" si="17"/>
        <v>0</v>
      </c>
      <c r="BX16" s="50">
        <f t="shared" si="17"/>
        <v>0</v>
      </c>
      <c r="BY16" s="50">
        <f t="shared" si="17"/>
        <v>0</v>
      </c>
    </row>
    <row r="17" spans="1:77" ht="16.5" x14ac:dyDescent="0.25">
      <c r="A17" s="54"/>
      <c r="B17" s="263" t="s">
        <v>7</v>
      </c>
      <c r="C17" s="263"/>
      <c r="D17" s="51">
        <v>12</v>
      </c>
      <c r="E17" s="51">
        <v>12</v>
      </c>
      <c r="F17" s="51">
        <v>12</v>
      </c>
      <c r="G17" s="51">
        <v>12</v>
      </c>
      <c r="H17" s="51">
        <v>12</v>
      </c>
      <c r="I17" s="51">
        <v>24</v>
      </c>
      <c r="J17" s="51">
        <v>24</v>
      </c>
      <c r="K17" s="51">
        <v>24</v>
      </c>
      <c r="L17" s="51">
        <v>24</v>
      </c>
      <c r="M17" s="51">
        <v>24</v>
      </c>
      <c r="N17" s="51">
        <v>48</v>
      </c>
      <c r="O17" s="51">
        <v>48</v>
      </c>
      <c r="P17" s="51">
        <v>48</v>
      </c>
      <c r="Q17" s="51">
        <v>48</v>
      </c>
      <c r="R17" s="51">
        <v>48</v>
      </c>
      <c r="S17" s="51">
        <v>60</v>
      </c>
      <c r="T17" s="51">
        <v>60</v>
      </c>
      <c r="U17" s="51">
        <v>60</v>
      </c>
      <c r="V17" s="51">
        <v>60</v>
      </c>
      <c r="W17" s="51">
        <v>60</v>
      </c>
      <c r="X17" s="51">
        <v>72</v>
      </c>
      <c r="Y17" s="51">
        <v>72</v>
      </c>
      <c r="Z17" s="51">
        <v>72</v>
      </c>
      <c r="AA17" s="51">
        <v>72</v>
      </c>
      <c r="AB17" s="51">
        <v>72</v>
      </c>
      <c r="AC17" s="51">
        <v>96</v>
      </c>
      <c r="AD17" s="51">
        <v>96</v>
      </c>
      <c r="AE17" s="51">
        <v>96</v>
      </c>
      <c r="AF17" s="51">
        <v>96</v>
      </c>
      <c r="AG17" s="51">
        <v>96</v>
      </c>
      <c r="AH17" s="51">
        <v>108</v>
      </c>
      <c r="AI17" s="51">
        <v>108</v>
      </c>
      <c r="AJ17" s="51">
        <v>108</v>
      </c>
      <c r="AK17" s="51">
        <v>108</v>
      </c>
      <c r="AL17" s="51">
        <v>108</v>
      </c>
      <c r="AM17" s="51">
        <v>120</v>
      </c>
      <c r="AN17" s="51">
        <v>120</v>
      </c>
      <c r="AO17" s="51">
        <v>120</v>
      </c>
      <c r="AP17" s="51">
        <v>120</v>
      </c>
      <c r="AQ17" s="51">
        <v>120</v>
      </c>
      <c r="AR17" s="51">
        <v>120</v>
      </c>
      <c r="AS17" s="51">
        <v>120</v>
      </c>
      <c r="AT17" s="51">
        <v>120</v>
      </c>
      <c r="AU17" s="51">
        <v>120</v>
      </c>
      <c r="AV17" s="51">
        <v>120</v>
      </c>
      <c r="AW17" s="51">
        <v>120</v>
      </c>
      <c r="AX17" s="51">
        <v>120</v>
      </c>
      <c r="AY17" s="51">
        <v>120</v>
      </c>
      <c r="AZ17" s="51">
        <v>120</v>
      </c>
      <c r="BA17" s="51">
        <v>120</v>
      </c>
      <c r="BB17" s="51">
        <v>120</v>
      </c>
      <c r="BC17" s="51">
        <v>120</v>
      </c>
      <c r="BD17" s="51">
        <v>120</v>
      </c>
      <c r="BE17" s="51">
        <v>120</v>
      </c>
      <c r="BF17" s="51">
        <v>120</v>
      </c>
      <c r="BG17" s="51">
        <v>120</v>
      </c>
      <c r="BH17" s="51">
        <v>120</v>
      </c>
      <c r="BI17" s="51">
        <v>120</v>
      </c>
      <c r="BJ17" s="51">
        <v>120</v>
      </c>
      <c r="BK17" s="51">
        <v>120</v>
      </c>
      <c r="BL17" s="51">
        <v>120</v>
      </c>
      <c r="BM17" s="51">
        <v>120</v>
      </c>
      <c r="BN17" s="51">
        <v>120</v>
      </c>
      <c r="BO17" s="51">
        <v>120</v>
      </c>
      <c r="BP17" s="51">
        <v>120</v>
      </c>
      <c r="BQ17" s="51">
        <v>120</v>
      </c>
      <c r="BR17" s="51">
        <v>120</v>
      </c>
      <c r="BS17" s="51">
        <v>120</v>
      </c>
      <c r="BT17" s="51">
        <v>120</v>
      </c>
      <c r="BU17" s="51">
        <v>120</v>
      </c>
      <c r="BV17" s="51">
        <v>120</v>
      </c>
      <c r="BW17" s="51">
        <v>120</v>
      </c>
      <c r="BX17" s="51">
        <v>120</v>
      </c>
      <c r="BY17" s="51">
        <v>120</v>
      </c>
    </row>
    <row r="18" spans="1:77" ht="16.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</row>
    <row r="19" spans="1:77" ht="16.5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</row>
    <row r="20" spans="1:77" ht="16.5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</row>
    <row r="21" spans="1:77" ht="16.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</row>
    <row r="22" spans="1:77" ht="16.5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</row>
    <row r="23" spans="1:77" ht="16.5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</row>
    <row r="24" spans="1:77" ht="16.5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</row>
    <row r="25" spans="1:77" ht="16.5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</row>
    <row r="26" spans="1:77" ht="16.5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</row>
    <row r="27" spans="1:77" ht="16.5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</row>
    <row r="28" spans="1:77" ht="16.5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</row>
    <row r="29" spans="1:77" x14ac:dyDescent="0.25">
      <c r="BT29" t="s">
        <v>15</v>
      </c>
    </row>
    <row r="30" spans="1:77" ht="16.5" hidden="1" customHeight="1" x14ac:dyDescent="0.25"/>
    <row r="31" spans="1:77" ht="16.5" hidden="1" customHeight="1" x14ac:dyDescent="0.25"/>
    <row r="32" spans="1:77" ht="16.5" hidden="1" customHeight="1" x14ac:dyDescent="0.25"/>
    <row r="33" ht="16.5" hidden="1" customHeight="1" x14ac:dyDescent="0.25"/>
    <row r="34" ht="16.5" hidden="1" customHeight="1" x14ac:dyDescent="0.25"/>
    <row r="35" ht="16.5" hidden="1" customHeight="1" x14ac:dyDescent="0.25"/>
    <row r="36" ht="16.5" hidden="1" customHeight="1" x14ac:dyDescent="0.25"/>
    <row r="37" ht="16.5" hidden="1" customHeight="1" x14ac:dyDescent="0.25"/>
    <row r="38" ht="16.5" hidden="1" customHeight="1" x14ac:dyDescent="0.25"/>
    <row r="39" ht="16.5" hidden="1" customHeight="1" x14ac:dyDescent="0.25"/>
    <row r="40" ht="16.5" hidden="1" customHeight="1" x14ac:dyDescent="0.25"/>
    <row r="41" ht="16.5" hidden="1" customHeight="1" x14ac:dyDescent="0.25"/>
    <row r="42" ht="16.5" hidden="1" customHeight="1" x14ac:dyDescent="0.25"/>
    <row r="45" ht="15" hidden="1" customHeight="1" x14ac:dyDescent="0.25"/>
    <row r="46" ht="15" hidden="1" customHeight="1" x14ac:dyDescent="0.25"/>
    <row r="47" ht="15" hidden="1" customHeight="1" x14ac:dyDescent="0.25"/>
    <row r="48" ht="15" hidden="1" customHeight="1" x14ac:dyDescent="0.25"/>
    <row r="49" ht="15" hidden="1" customHeight="1" x14ac:dyDescent="0.25"/>
    <row r="50" ht="15" hidden="1" customHeight="1" x14ac:dyDescent="0.25"/>
    <row r="51" ht="15" hidden="1" customHeight="1" x14ac:dyDescent="0.25"/>
    <row r="52" ht="15" hidden="1" customHeight="1" x14ac:dyDescent="0.25"/>
    <row r="53" ht="15" hidden="1" customHeight="1" x14ac:dyDescent="0.25"/>
    <row r="54" ht="15" hidden="1" customHeight="1" x14ac:dyDescent="0.25"/>
    <row r="55" ht="15" hidden="1" customHeight="1" x14ac:dyDescent="0.25"/>
    <row r="56" ht="15" hidden="1" customHeight="1" x14ac:dyDescent="0.25"/>
    <row r="57" ht="15" hidden="1" customHeight="1" x14ac:dyDescent="0.25"/>
    <row r="58" ht="15" hidden="1" customHeight="1" x14ac:dyDescent="0.25"/>
    <row r="59" ht="15" hidden="1" customHeight="1" x14ac:dyDescent="0.25"/>
    <row r="60" ht="15" hidden="1" customHeight="1" x14ac:dyDescent="0.25"/>
  </sheetData>
  <mergeCells count="10">
    <mergeCell ref="B1:Y2"/>
    <mergeCell ref="B4:C4"/>
    <mergeCell ref="B6:B8"/>
    <mergeCell ref="C6:C8"/>
    <mergeCell ref="B9:B10"/>
    <mergeCell ref="B11:B12"/>
    <mergeCell ref="B13:B14"/>
    <mergeCell ref="B15:B16"/>
    <mergeCell ref="B17:C17"/>
    <mergeCell ref="D6:BY6"/>
  </mergeCells>
  <conditionalFormatting sqref="D15:Y15 AV15:BE15 AX11:BD11 AY9:BD9 AX13:BD13">
    <cfRule type="containsBlanks" dxfId="589" priority="39">
      <formula>LEN(TRIM(D9))=0</formula>
    </cfRule>
  </conditionalFormatting>
  <conditionalFormatting sqref="Y11 D11:J11 L11:P11">
    <cfRule type="containsBlanks" dxfId="588" priority="38">
      <formula>LEN(TRIM(D11))=0</formula>
    </cfRule>
  </conditionalFormatting>
  <conditionalFormatting sqref="D9:J9 Y9 L9:P9">
    <cfRule type="containsBlanks" dxfId="587" priority="37">
      <formula>LEN(TRIM(D9))=0</formula>
    </cfRule>
  </conditionalFormatting>
  <conditionalFormatting sqref="Q11:X11">
    <cfRule type="containsBlanks" dxfId="586" priority="36">
      <formula>LEN(TRIM(Q11))=0</formula>
    </cfRule>
  </conditionalFormatting>
  <conditionalFormatting sqref="R9:X9">
    <cfRule type="containsBlanks" dxfId="585" priority="35">
      <formula>LEN(TRIM(R9))=0</formula>
    </cfRule>
  </conditionalFormatting>
  <conditionalFormatting sqref="Q9">
    <cfRule type="containsBlanks" dxfId="584" priority="34">
      <formula>LEN(TRIM(Q9))=0</formula>
    </cfRule>
  </conditionalFormatting>
  <conditionalFormatting sqref="Y13 D13:J13 L13:P13">
    <cfRule type="containsBlanks" dxfId="583" priority="33">
      <formula>LEN(TRIM(D13))=0</formula>
    </cfRule>
  </conditionalFormatting>
  <conditionalFormatting sqref="Q13:X13">
    <cfRule type="containsBlanks" dxfId="582" priority="32">
      <formula>LEN(TRIM(Q13))=0</formula>
    </cfRule>
  </conditionalFormatting>
  <conditionalFormatting sqref="K9">
    <cfRule type="containsBlanks" dxfId="581" priority="31">
      <formula>LEN(TRIM(K9))=0</formula>
    </cfRule>
  </conditionalFormatting>
  <conditionalFormatting sqref="K11">
    <cfRule type="containsBlanks" dxfId="580" priority="30">
      <formula>LEN(TRIM(K11))=0</formula>
    </cfRule>
  </conditionalFormatting>
  <conditionalFormatting sqref="K13">
    <cfRule type="containsBlanks" dxfId="579" priority="29">
      <formula>LEN(TRIM(K13))=0</formula>
    </cfRule>
  </conditionalFormatting>
  <conditionalFormatting sqref="Z15:AU15">
    <cfRule type="containsBlanks" dxfId="578" priority="28">
      <formula>LEN(TRIM(Z15))=0</formula>
    </cfRule>
  </conditionalFormatting>
  <conditionalFormatting sqref="AU11 AH11:AL11 Z11:AF11">
    <cfRule type="containsBlanks" dxfId="577" priority="27">
      <formula>LEN(TRIM(Z11))=0</formula>
    </cfRule>
  </conditionalFormatting>
  <conditionalFormatting sqref="AU9 AH9:AL9 Z9:AF9">
    <cfRule type="containsBlanks" dxfId="576" priority="26">
      <formula>LEN(TRIM(Z9))=0</formula>
    </cfRule>
  </conditionalFormatting>
  <conditionalFormatting sqref="AM11:AT11">
    <cfRule type="containsBlanks" dxfId="575" priority="25">
      <formula>LEN(TRIM(AM11))=0</formula>
    </cfRule>
  </conditionalFormatting>
  <conditionalFormatting sqref="AN9:AT9">
    <cfRule type="containsBlanks" dxfId="574" priority="24">
      <formula>LEN(TRIM(AN9))=0</formula>
    </cfRule>
  </conditionalFormatting>
  <conditionalFormatting sqref="AM9">
    <cfRule type="containsBlanks" dxfId="573" priority="23">
      <formula>LEN(TRIM(AM9))=0</formula>
    </cfRule>
  </conditionalFormatting>
  <conditionalFormatting sqref="AU13 AH13:AL13 Z13:AF13">
    <cfRule type="containsBlanks" dxfId="572" priority="22">
      <formula>LEN(TRIM(Z13))=0</formula>
    </cfRule>
  </conditionalFormatting>
  <conditionalFormatting sqref="AM13:AT13">
    <cfRule type="containsBlanks" dxfId="571" priority="21">
      <formula>LEN(TRIM(AM13))=0</formula>
    </cfRule>
  </conditionalFormatting>
  <conditionalFormatting sqref="AG9">
    <cfRule type="containsBlanks" dxfId="570" priority="20">
      <formula>LEN(TRIM(AG9))=0</formula>
    </cfRule>
  </conditionalFormatting>
  <conditionalFormatting sqref="AG11">
    <cfRule type="containsBlanks" dxfId="569" priority="19">
      <formula>LEN(TRIM(AG11))=0</formula>
    </cfRule>
  </conditionalFormatting>
  <conditionalFormatting sqref="AG13">
    <cfRule type="containsBlanks" dxfId="568" priority="18">
      <formula>LEN(TRIM(AG13))=0</formula>
    </cfRule>
  </conditionalFormatting>
  <conditionalFormatting sqref="BE11 AV11:AW11">
    <cfRule type="containsBlanks" dxfId="567" priority="17">
      <formula>LEN(TRIM(AV11))=0</formula>
    </cfRule>
  </conditionalFormatting>
  <conditionalFormatting sqref="BE9 AV9:AW9">
    <cfRule type="containsBlanks" dxfId="566" priority="16">
      <formula>LEN(TRIM(AV9))=0</formula>
    </cfRule>
  </conditionalFormatting>
  <conditionalFormatting sqref="AX9">
    <cfRule type="containsBlanks" dxfId="565" priority="15">
      <formula>LEN(TRIM(AX9))=0</formula>
    </cfRule>
  </conditionalFormatting>
  <conditionalFormatting sqref="BE13 AV13:AW13">
    <cfRule type="containsBlanks" dxfId="564" priority="14">
      <formula>LEN(TRIM(AV13))=0</formula>
    </cfRule>
  </conditionalFormatting>
  <conditionalFormatting sqref="BQ15:BY15 BS11:BY11 BT9:BY9 BS13:BY13">
    <cfRule type="containsBlanks" dxfId="563" priority="13">
      <formula>LEN(TRIM(BQ9))=0</formula>
    </cfRule>
  </conditionalFormatting>
  <conditionalFormatting sqref="BF15:BP15">
    <cfRule type="containsBlanks" dxfId="562" priority="12">
      <formula>LEN(TRIM(BF15))=0</formula>
    </cfRule>
  </conditionalFormatting>
  <conditionalFormatting sqref="BP11 BF11:BG11">
    <cfRule type="containsBlanks" dxfId="561" priority="11">
      <formula>LEN(TRIM(BF11))=0</formula>
    </cfRule>
  </conditionalFormatting>
  <conditionalFormatting sqref="BP9 BF9:BG9">
    <cfRule type="containsBlanks" dxfId="560" priority="10">
      <formula>LEN(TRIM(BF9))=0</formula>
    </cfRule>
  </conditionalFormatting>
  <conditionalFormatting sqref="BH11:BO11">
    <cfRule type="containsBlanks" dxfId="559" priority="9">
      <formula>LEN(TRIM(BH11))=0</formula>
    </cfRule>
  </conditionalFormatting>
  <conditionalFormatting sqref="BI9:BO9">
    <cfRule type="containsBlanks" dxfId="558" priority="8">
      <formula>LEN(TRIM(BI9))=0</formula>
    </cfRule>
  </conditionalFormatting>
  <conditionalFormatting sqref="BH9">
    <cfRule type="containsBlanks" dxfId="557" priority="7">
      <formula>LEN(TRIM(BH9))=0</formula>
    </cfRule>
  </conditionalFormatting>
  <conditionalFormatting sqref="BP13 BF13:BG13">
    <cfRule type="containsBlanks" dxfId="556" priority="6">
      <formula>LEN(TRIM(BF13))=0</formula>
    </cfRule>
  </conditionalFormatting>
  <conditionalFormatting sqref="BH13:BO13">
    <cfRule type="containsBlanks" dxfId="555" priority="5">
      <formula>LEN(TRIM(BH13))=0</formula>
    </cfRule>
  </conditionalFormatting>
  <conditionalFormatting sqref="BQ11:BR11">
    <cfRule type="containsBlanks" dxfId="554" priority="4">
      <formula>LEN(TRIM(BQ11))=0</formula>
    </cfRule>
  </conditionalFormatting>
  <conditionalFormatting sqref="BQ9:BR9">
    <cfRule type="containsBlanks" dxfId="553" priority="3">
      <formula>LEN(TRIM(BQ9))=0</formula>
    </cfRule>
  </conditionalFormatting>
  <conditionalFormatting sqref="BS9">
    <cfRule type="containsBlanks" dxfId="552" priority="2">
      <formula>LEN(TRIM(BS9))=0</formula>
    </cfRule>
  </conditionalFormatting>
  <conditionalFormatting sqref="BQ13:BR13">
    <cfRule type="containsBlanks" dxfId="551" priority="1">
      <formula>LEN(TRIM(BQ13))=0</formula>
    </cfRule>
  </conditionalFormatting>
  <printOptions horizontalCentered="1" verticalCentered="1"/>
  <pageMargins left="0.2" right="0" top="0" bottom="0" header="0" footer="0"/>
  <pageSetup paperSize="9" scale="64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K60"/>
  <sheetViews>
    <sheetView showGridLines="0" zoomScale="85" zoomScaleNormal="85" workbookViewId="0">
      <selection activeCell="DO15" sqref="DO15"/>
    </sheetView>
  </sheetViews>
  <sheetFormatPr defaultRowHeight="15" x14ac:dyDescent="0.25"/>
  <cols>
    <col min="1" max="1" width="4" customWidth="1"/>
    <col min="2" max="2" width="26" customWidth="1"/>
    <col min="3" max="3" width="27.28515625" customWidth="1"/>
    <col min="4" max="4" width="6.7109375" hidden="1" customWidth="1"/>
    <col min="5" max="5" width="7.7109375" hidden="1" customWidth="1"/>
    <col min="6" max="26" width="6.7109375" hidden="1" customWidth="1"/>
    <col min="27" max="27" width="7.7109375" hidden="1" customWidth="1"/>
    <col min="28" max="74" width="6.7109375" hidden="1" customWidth="1"/>
    <col min="75" max="75" width="6.7109375" customWidth="1"/>
    <col min="76" max="76" width="7.42578125" customWidth="1"/>
    <col min="77" max="115" width="6.7109375" customWidth="1"/>
  </cols>
  <sheetData>
    <row r="1" spans="1:115" ht="16.5" customHeight="1" x14ac:dyDescent="0.3"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V1" s="1"/>
      <c r="AW1" s="1"/>
      <c r="AX1" s="1"/>
      <c r="AY1" s="1"/>
      <c r="AZ1" s="1"/>
      <c r="BA1" s="1"/>
      <c r="BF1" s="1"/>
      <c r="BG1" s="1"/>
      <c r="BH1" s="1"/>
      <c r="BI1" s="1"/>
      <c r="BJ1" s="1"/>
      <c r="BK1" s="1"/>
      <c r="BL1" s="1"/>
      <c r="BQ1" s="1"/>
      <c r="BR1" s="1"/>
      <c r="BS1" s="1"/>
      <c r="BT1" s="1"/>
      <c r="BU1" s="1"/>
      <c r="BV1" s="1"/>
      <c r="BZ1" s="1"/>
      <c r="CA1" s="1"/>
      <c r="CB1" s="1"/>
      <c r="CC1" s="1"/>
      <c r="CD1" s="1"/>
      <c r="CE1" s="1"/>
      <c r="CF1" s="1"/>
      <c r="CK1" s="1"/>
      <c r="CL1" s="1"/>
      <c r="CM1" s="1"/>
      <c r="CN1" s="1"/>
      <c r="CO1" s="1"/>
      <c r="CP1" s="1"/>
      <c r="CU1" s="1"/>
      <c r="CV1" s="1"/>
      <c r="CW1" s="1"/>
      <c r="CX1" s="1"/>
      <c r="CY1" s="1"/>
      <c r="CZ1" s="1"/>
      <c r="DA1" s="1"/>
      <c r="DF1" s="1"/>
      <c r="DG1" s="1"/>
      <c r="DH1" s="1"/>
      <c r="DI1" s="1"/>
      <c r="DJ1" s="1"/>
      <c r="DK1" s="1"/>
    </row>
    <row r="2" spans="1:115" ht="40.5" customHeight="1" x14ac:dyDescent="0.3"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V2" s="1"/>
      <c r="AW2" s="1"/>
      <c r="AX2" s="1"/>
      <c r="AY2" s="1"/>
      <c r="AZ2" s="1"/>
      <c r="BA2" s="1"/>
      <c r="BF2" s="1"/>
      <c r="BG2" s="1"/>
      <c r="BH2" s="1"/>
      <c r="BI2" s="1"/>
      <c r="BJ2" s="1"/>
      <c r="BK2" s="1"/>
      <c r="BL2" s="1"/>
      <c r="BQ2" s="1"/>
      <c r="BR2" s="1"/>
      <c r="BS2" s="1"/>
      <c r="BT2" s="1"/>
      <c r="BU2" s="1"/>
      <c r="BV2" s="1"/>
      <c r="BZ2" s="1"/>
      <c r="CA2" s="1"/>
      <c r="CB2" s="1"/>
      <c r="CC2" s="1"/>
      <c r="CD2" s="1"/>
      <c r="CE2" s="1"/>
      <c r="CF2" s="1"/>
      <c r="CK2" s="1"/>
      <c r="CL2" s="1"/>
      <c r="CM2" s="1"/>
      <c r="CN2" s="1"/>
      <c r="CO2" s="1"/>
      <c r="CP2" s="1"/>
      <c r="CU2" s="1"/>
      <c r="CV2" s="1"/>
      <c r="CW2" s="1"/>
      <c r="CX2" s="1"/>
      <c r="CY2" s="1"/>
      <c r="CZ2" s="1"/>
      <c r="DA2" s="1"/>
      <c r="DF2" s="1"/>
      <c r="DG2" s="1"/>
      <c r="DH2" s="1"/>
      <c r="DI2" s="1"/>
      <c r="DJ2" s="1"/>
      <c r="DK2" s="1"/>
    </row>
    <row r="3" spans="1:115" ht="21" customHeight="1" x14ac:dyDescent="0.25"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</row>
    <row r="4" spans="1:115" s="2" customFormat="1" ht="18" customHeight="1" x14ac:dyDescent="0.2">
      <c r="B4" s="301" t="s">
        <v>18</v>
      </c>
      <c r="C4" s="301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 t="s">
        <v>26</v>
      </c>
      <c r="AL4" s="33"/>
      <c r="AM4" s="33"/>
      <c r="AN4" s="33"/>
      <c r="AP4" s="33"/>
      <c r="AQ4" s="33"/>
      <c r="AR4" s="33"/>
      <c r="AS4" s="33"/>
      <c r="AZ4" s="33"/>
      <c r="BE4" s="33"/>
      <c r="BG4" s="33"/>
      <c r="BK4" s="33"/>
      <c r="BL4" s="33"/>
      <c r="BM4" s="33"/>
      <c r="BN4" s="33"/>
      <c r="BT4" s="33" t="s">
        <v>19</v>
      </c>
      <c r="BU4" s="33"/>
      <c r="BY4" s="33"/>
      <c r="CA4" s="33"/>
      <c r="CB4" s="33"/>
      <c r="CC4" s="33"/>
      <c r="CE4" s="33"/>
      <c r="CF4" s="33"/>
      <c r="CG4" s="33"/>
      <c r="CH4" s="33"/>
      <c r="CO4" s="33"/>
      <c r="CT4" s="33"/>
      <c r="CV4" s="33"/>
      <c r="CZ4" s="33"/>
      <c r="DA4" s="33"/>
      <c r="DB4" s="33"/>
      <c r="DC4" s="33"/>
      <c r="DH4" s="33" t="s">
        <v>26</v>
      </c>
      <c r="DJ4" s="33"/>
    </row>
    <row r="5" spans="1:115" ht="3" customHeigh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52"/>
      <c r="AU5" s="52"/>
      <c r="AV5" s="52"/>
      <c r="AW5" s="52"/>
      <c r="AY5" s="52"/>
      <c r="AZ5" s="52"/>
      <c r="BA5" s="52"/>
      <c r="BB5" s="52"/>
      <c r="BC5" s="52"/>
      <c r="BD5" s="52"/>
      <c r="BE5" s="52"/>
      <c r="BF5" s="1"/>
      <c r="BG5" s="1"/>
      <c r="BH5" s="1"/>
      <c r="BI5" s="1"/>
      <c r="BJ5" s="1"/>
      <c r="BK5" s="1"/>
      <c r="BL5" s="1"/>
      <c r="BM5" s="1"/>
      <c r="BN5" s="1"/>
      <c r="BO5" s="52"/>
      <c r="BP5" s="52"/>
      <c r="BQ5" s="52"/>
      <c r="BR5" s="52"/>
      <c r="BT5" s="52"/>
      <c r="BU5" s="52"/>
      <c r="BV5" s="52"/>
      <c r="BW5" s="52"/>
      <c r="BX5" s="52"/>
      <c r="BY5" s="52"/>
      <c r="BZ5" s="1"/>
      <c r="CA5" s="1"/>
      <c r="CB5" s="1"/>
      <c r="CC5" s="1"/>
      <c r="CD5" s="1"/>
      <c r="CE5" s="1"/>
      <c r="CF5" s="1"/>
      <c r="CG5" s="1"/>
      <c r="CH5" s="1"/>
      <c r="CI5" s="52"/>
      <c r="CJ5" s="52"/>
      <c r="CK5" s="52"/>
      <c r="CL5" s="52"/>
      <c r="CN5" s="52"/>
      <c r="CO5" s="52"/>
      <c r="CP5" s="52"/>
      <c r="CQ5" s="52"/>
      <c r="CR5" s="52"/>
      <c r="CS5" s="52"/>
      <c r="CT5" s="52"/>
      <c r="CU5" s="1"/>
      <c r="CV5" s="1"/>
      <c r="CW5" s="1"/>
      <c r="CX5" s="1"/>
      <c r="CY5" s="1"/>
      <c r="CZ5" s="1"/>
      <c r="DA5" s="1"/>
      <c r="DB5" s="1"/>
      <c r="DC5" s="1"/>
      <c r="DD5" s="52"/>
      <c r="DE5" s="52"/>
      <c r="DF5" s="52"/>
      <c r="DG5" s="52"/>
      <c r="DI5" s="52"/>
      <c r="DJ5" s="52"/>
      <c r="DK5" s="52"/>
    </row>
    <row r="6" spans="1:115" s="2" customFormat="1" ht="23.25" customHeight="1" x14ac:dyDescent="0.2">
      <c r="A6" s="53"/>
      <c r="B6" s="241" t="s">
        <v>0</v>
      </c>
      <c r="C6" s="241" t="s">
        <v>17</v>
      </c>
      <c r="D6" s="37" t="s">
        <v>3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265" t="s">
        <v>16</v>
      </c>
      <c r="AL6" s="265"/>
      <c r="AM6" s="265"/>
      <c r="AN6" s="265"/>
      <c r="AO6" s="265"/>
      <c r="AP6" s="265"/>
      <c r="AQ6" s="265"/>
      <c r="AR6" s="265"/>
      <c r="AS6" s="265"/>
      <c r="AT6" s="265"/>
      <c r="AU6" s="265"/>
      <c r="AV6" s="265"/>
      <c r="AW6" s="265"/>
      <c r="AX6" s="265"/>
      <c r="AY6" s="265"/>
      <c r="AZ6" s="265"/>
      <c r="BA6" s="265"/>
      <c r="BB6" s="265"/>
      <c r="BC6" s="265"/>
      <c r="BD6" s="265"/>
      <c r="BE6" s="265"/>
      <c r="BF6" s="265"/>
      <c r="BG6" s="265"/>
      <c r="BH6" s="265"/>
      <c r="BI6" s="265"/>
      <c r="BJ6" s="265"/>
      <c r="BK6" s="265"/>
      <c r="BL6" s="265"/>
      <c r="BM6" s="265"/>
      <c r="BN6" s="265"/>
      <c r="BO6" s="265"/>
      <c r="BP6" s="265"/>
      <c r="BQ6" s="265"/>
      <c r="BR6" s="265"/>
      <c r="BS6" s="265"/>
      <c r="BT6" s="265"/>
      <c r="BU6" s="265"/>
      <c r="BV6" s="265"/>
      <c r="BW6" s="265"/>
      <c r="BX6" s="265"/>
      <c r="BY6" s="265"/>
      <c r="BZ6" s="265"/>
      <c r="CA6" s="265"/>
      <c r="CB6" s="265"/>
      <c r="CC6" s="265"/>
      <c r="CD6" s="265"/>
      <c r="CE6" s="265"/>
      <c r="CF6" s="265"/>
      <c r="CG6" s="265"/>
      <c r="CH6" s="265"/>
      <c r="CI6" s="265"/>
      <c r="CJ6" s="265"/>
      <c r="CK6" s="265"/>
      <c r="CL6" s="265"/>
      <c r="CM6" s="265"/>
      <c r="CN6" s="265"/>
      <c r="CO6" s="265"/>
      <c r="CP6" s="265"/>
      <c r="CQ6" s="265"/>
      <c r="CR6" s="265"/>
      <c r="CS6" s="265"/>
      <c r="CT6" s="265"/>
      <c r="CU6" s="265"/>
      <c r="CV6" s="265"/>
      <c r="CW6" s="265"/>
      <c r="CX6" s="265"/>
      <c r="CY6" s="265"/>
      <c r="CZ6" s="265"/>
      <c r="DA6" s="265"/>
      <c r="DB6" s="265"/>
      <c r="DC6" s="265"/>
      <c r="DD6" s="265"/>
      <c r="DE6" s="265"/>
      <c r="DF6" s="265"/>
      <c r="DG6" s="265"/>
      <c r="DH6" s="265"/>
      <c r="DI6" s="265"/>
      <c r="DJ6" s="265"/>
      <c r="DK6" s="265"/>
    </row>
    <row r="7" spans="1:115" s="2" customFormat="1" ht="23.25" customHeight="1" x14ac:dyDescent="0.2">
      <c r="A7" s="53"/>
      <c r="B7" s="241"/>
      <c r="C7" s="241"/>
      <c r="D7" s="38">
        <v>1</v>
      </c>
      <c r="E7" s="38">
        <v>2</v>
      </c>
      <c r="F7" s="38">
        <v>3</v>
      </c>
      <c r="G7" s="38">
        <v>4</v>
      </c>
      <c r="H7" s="38">
        <v>5</v>
      </c>
      <c r="I7" s="38">
        <f>1+H7</f>
        <v>6</v>
      </c>
      <c r="J7" s="38">
        <f t="shared" ref="J7:Y7" si="0">1+I7</f>
        <v>7</v>
      </c>
      <c r="K7" s="38">
        <f t="shared" si="0"/>
        <v>8</v>
      </c>
      <c r="L7" s="38">
        <f t="shared" si="0"/>
        <v>9</v>
      </c>
      <c r="M7" s="38">
        <f t="shared" si="0"/>
        <v>10</v>
      </c>
      <c r="N7" s="38">
        <f t="shared" si="0"/>
        <v>11</v>
      </c>
      <c r="O7" s="38">
        <f t="shared" si="0"/>
        <v>12</v>
      </c>
      <c r="P7" s="38">
        <f t="shared" si="0"/>
        <v>13</v>
      </c>
      <c r="Q7" s="38">
        <f t="shared" si="0"/>
        <v>14</v>
      </c>
      <c r="R7" s="38">
        <f t="shared" si="0"/>
        <v>15</v>
      </c>
      <c r="S7" s="38">
        <f t="shared" si="0"/>
        <v>16</v>
      </c>
      <c r="T7" s="38">
        <f t="shared" si="0"/>
        <v>17</v>
      </c>
      <c r="U7" s="38">
        <f t="shared" si="0"/>
        <v>18</v>
      </c>
      <c r="V7" s="38">
        <f t="shared" si="0"/>
        <v>19</v>
      </c>
      <c r="W7" s="38">
        <f t="shared" si="0"/>
        <v>20</v>
      </c>
      <c r="X7" s="38">
        <f t="shared" si="0"/>
        <v>21</v>
      </c>
      <c r="Y7" s="38">
        <f t="shared" si="0"/>
        <v>22</v>
      </c>
      <c r="Z7" s="38">
        <f t="shared" ref="Z7:BE7" si="1">1+Y7</f>
        <v>23</v>
      </c>
      <c r="AA7" s="38">
        <f t="shared" si="1"/>
        <v>24</v>
      </c>
      <c r="AB7" s="38">
        <f t="shared" si="1"/>
        <v>25</v>
      </c>
      <c r="AC7" s="38">
        <f t="shared" si="1"/>
        <v>26</v>
      </c>
      <c r="AD7" s="38">
        <f t="shared" si="1"/>
        <v>27</v>
      </c>
      <c r="AE7" s="38">
        <f t="shared" si="1"/>
        <v>28</v>
      </c>
      <c r="AF7" s="38">
        <f t="shared" si="1"/>
        <v>29</v>
      </c>
      <c r="AG7" s="38">
        <f t="shared" si="1"/>
        <v>30</v>
      </c>
      <c r="AH7" s="38">
        <f t="shared" si="1"/>
        <v>31</v>
      </c>
      <c r="AI7" s="38">
        <f t="shared" si="1"/>
        <v>32</v>
      </c>
      <c r="AJ7" s="38">
        <f t="shared" si="1"/>
        <v>33</v>
      </c>
      <c r="AK7" s="38">
        <f t="shared" si="1"/>
        <v>34</v>
      </c>
      <c r="AL7" s="38">
        <f t="shared" si="1"/>
        <v>35</v>
      </c>
      <c r="AM7" s="38">
        <f t="shared" si="1"/>
        <v>36</v>
      </c>
      <c r="AN7" s="38">
        <f t="shared" si="1"/>
        <v>37</v>
      </c>
      <c r="AO7" s="38">
        <f t="shared" si="1"/>
        <v>38</v>
      </c>
      <c r="AP7" s="38">
        <f t="shared" si="1"/>
        <v>39</v>
      </c>
      <c r="AQ7" s="38">
        <f t="shared" si="1"/>
        <v>40</v>
      </c>
      <c r="AR7" s="38">
        <f t="shared" si="1"/>
        <v>41</v>
      </c>
      <c r="AS7" s="38">
        <f t="shared" si="1"/>
        <v>42</v>
      </c>
      <c r="AT7" s="38">
        <f t="shared" si="1"/>
        <v>43</v>
      </c>
      <c r="AU7" s="38">
        <f t="shared" si="1"/>
        <v>44</v>
      </c>
      <c r="AV7" s="38">
        <f t="shared" si="1"/>
        <v>45</v>
      </c>
      <c r="AW7" s="38">
        <f t="shared" si="1"/>
        <v>46</v>
      </c>
      <c r="AX7" s="38">
        <f t="shared" si="1"/>
        <v>47</v>
      </c>
      <c r="AY7" s="38">
        <f t="shared" si="1"/>
        <v>48</v>
      </c>
      <c r="AZ7" s="38">
        <f t="shared" si="1"/>
        <v>49</v>
      </c>
      <c r="BA7" s="38">
        <f t="shared" si="1"/>
        <v>50</v>
      </c>
      <c r="BB7" s="38">
        <f t="shared" si="1"/>
        <v>51</v>
      </c>
      <c r="BC7" s="38">
        <f t="shared" si="1"/>
        <v>52</v>
      </c>
      <c r="BD7" s="38">
        <f t="shared" si="1"/>
        <v>53</v>
      </c>
      <c r="BE7" s="38">
        <f t="shared" si="1"/>
        <v>54</v>
      </c>
      <c r="BF7" s="38">
        <f t="shared" ref="BF7:BY7" si="2">1+BE7</f>
        <v>55</v>
      </c>
      <c r="BG7" s="38">
        <f t="shared" si="2"/>
        <v>56</v>
      </c>
      <c r="BH7" s="38">
        <f t="shared" si="2"/>
        <v>57</v>
      </c>
      <c r="BI7" s="38">
        <f t="shared" si="2"/>
        <v>58</v>
      </c>
      <c r="BJ7" s="38">
        <f t="shared" si="2"/>
        <v>59</v>
      </c>
      <c r="BK7" s="38">
        <f t="shared" si="2"/>
        <v>60</v>
      </c>
      <c r="BL7" s="38">
        <f t="shared" si="2"/>
        <v>61</v>
      </c>
      <c r="BM7" s="38">
        <f t="shared" si="2"/>
        <v>62</v>
      </c>
      <c r="BN7" s="38">
        <f t="shared" si="2"/>
        <v>63</v>
      </c>
      <c r="BO7" s="38">
        <f t="shared" si="2"/>
        <v>64</v>
      </c>
      <c r="BP7" s="38">
        <f t="shared" si="2"/>
        <v>65</v>
      </c>
      <c r="BQ7" s="38">
        <f t="shared" si="2"/>
        <v>66</v>
      </c>
      <c r="BR7" s="38">
        <f t="shared" si="2"/>
        <v>67</v>
      </c>
      <c r="BS7" s="38">
        <f t="shared" si="2"/>
        <v>68</v>
      </c>
      <c r="BT7" s="38">
        <f t="shared" si="2"/>
        <v>69</v>
      </c>
      <c r="BU7" s="38">
        <f t="shared" si="2"/>
        <v>70</v>
      </c>
      <c r="BV7" s="38">
        <f t="shared" si="2"/>
        <v>71</v>
      </c>
      <c r="BW7" s="38">
        <f t="shared" si="2"/>
        <v>72</v>
      </c>
      <c r="BX7" s="38">
        <f t="shared" si="2"/>
        <v>73</v>
      </c>
      <c r="BY7" s="38">
        <f t="shared" si="2"/>
        <v>74</v>
      </c>
      <c r="BZ7" s="38">
        <f t="shared" ref="BZ7:DK7" si="3">1+BY7</f>
        <v>75</v>
      </c>
      <c r="CA7" s="38">
        <f t="shared" si="3"/>
        <v>76</v>
      </c>
      <c r="CB7" s="38">
        <f t="shared" si="3"/>
        <v>77</v>
      </c>
      <c r="CC7" s="38">
        <f t="shared" si="3"/>
        <v>78</v>
      </c>
      <c r="CD7" s="38">
        <f t="shared" si="3"/>
        <v>79</v>
      </c>
      <c r="CE7" s="38">
        <f t="shared" si="3"/>
        <v>80</v>
      </c>
      <c r="CF7" s="38">
        <f t="shared" si="3"/>
        <v>81</v>
      </c>
      <c r="CG7" s="38">
        <f t="shared" si="3"/>
        <v>82</v>
      </c>
      <c r="CH7" s="38">
        <f t="shared" si="3"/>
        <v>83</v>
      </c>
      <c r="CI7" s="38">
        <f t="shared" si="3"/>
        <v>84</v>
      </c>
      <c r="CJ7" s="38">
        <f t="shared" si="3"/>
        <v>85</v>
      </c>
      <c r="CK7" s="38">
        <f t="shared" si="3"/>
        <v>86</v>
      </c>
      <c r="CL7" s="38">
        <f t="shared" si="3"/>
        <v>87</v>
      </c>
      <c r="CM7" s="38">
        <f t="shared" si="3"/>
        <v>88</v>
      </c>
      <c r="CN7" s="38">
        <f t="shared" si="3"/>
        <v>89</v>
      </c>
      <c r="CO7" s="38">
        <f t="shared" si="3"/>
        <v>90</v>
      </c>
      <c r="CP7" s="38">
        <f t="shared" si="3"/>
        <v>91</v>
      </c>
      <c r="CQ7" s="38">
        <f t="shared" si="3"/>
        <v>92</v>
      </c>
      <c r="CR7" s="38">
        <f t="shared" si="3"/>
        <v>93</v>
      </c>
      <c r="CS7" s="38">
        <f t="shared" si="3"/>
        <v>94</v>
      </c>
      <c r="CT7" s="38">
        <f t="shared" si="3"/>
        <v>95</v>
      </c>
      <c r="CU7" s="38">
        <f t="shared" si="3"/>
        <v>96</v>
      </c>
      <c r="CV7" s="38">
        <f t="shared" si="3"/>
        <v>97</v>
      </c>
      <c r="CW7" s="38">
        <f t="shared" si="3"/>
        <v>98</v>
      </c>
      <c r="CX7" s="38">
        <f t="shared" si="3"/>
        <v>99</v>
      </c>
      <c r="CY7" s="38">
        <f t="shared" si="3"/>
        <v>100</v>
      </c>
      <c r="CZ7" s="38">
        <f t="shared" si="3"/>
        <v>101</v>
      </c>
      <c r="DA7" s="38">
        <f t="shared" si="3"/>
        <v>102</v>
      </c>
      <c r="DB7" s="38">
        <f t="shared" si="3"/>
        <v>103</v>
      </c>
      <c r="DC7" s="38">
        <f t="shared" si="3"/>
        <v>104</v>
      </c>
      <c r="DD7" s="38">
        <f t="shared" si="3"/>
        <v>105</v>
      </c>
      <c r="DE7" s="38">
        <f t="shared" si="3"/>
        <v>106</v>
      </c>
      <c r="DF7" s="38">
        <f t="shared" si="3"/>
        <v>107</v>
      </c>
      <c r="DG7" s="38">
        <f t="shared" si="3"/>
        <v>108</v>
      </c>
      <c r="DH7" s="38">
        <f t="shared" si="3"/>
        <v>109</v>
      </c>
      <c r="DI7" s="38">
        <f t="shared" si="3"/>
        <v>110</v>
      </c>
      <c r="DJ7" s="38">
        <f t="shared" si="3"/>
        <v>111</v>
      </c>
      <c r="DK7" s="38">
        <f t="shared" si="3"/>
        <v>112</v>
      </c>
    </row>
    <row r="8" spans="1:115" s="2" customFormat="1" ht="23.25" customHeight="1" x14ac:dyDescent="0.2">
      <c r="A8" s="53"/>
      <c r="B8" s="241"/>
      <c r="C8" s="241"/>
      <c r="D8" s="39">
        <v>46013</v>
      </c>
      <c r="E8" s="39">
        <v>46014</v>
      </c>
      <c r="F8" s="39">
        <v>46015</v>
      </c>
      <c r="G8" s="39">
        <v>46017</v>
      </c>
      <c r="H8" s="39">
        <v>46020</v>
      </c>
      <c r="I8" s="39">
        <v>46021</v>
      </c>
      <c r="J8" s="39">
        <v>46022</v>
      </c>
      <c r="K8" s="39">
        <v>46024</v>
      </c>
      <c r="L8" s="40">
        <v>46027</v>
      </c>
      <c r="M8" s="40">
        <v>46028</v>
      </c>
      <c r="N8" s="40">
        <v>46029</v>
      </c>
      <c r="O8" s="40">
        <v>46030</v>
      </c>
      <c r="P8" s="40">
        <v>46031</v>
      </c>
      <c r="Q8" s="39">
        <v>46034</v>
      </c>
      <c r="R8" s="39">
        <v>46035</v>
      </c>
      <c r="S8" s="39">
        <v>46036</v>
      </c>
      <c r="T8" s="39">
        <v>46037</v>
      </c>
      <c r="U8" s="39">
        <v>46039</v>
      </c>
      <c r="V8" s="39">
        <v>46041</v>
      </c>
      <c r="W8" s="39">
        <v>46042</v>
      </c>
      <c r="X8" s="39">
        <v>46043</v>
      </c>
      <c r="Y8" s="39">
        <v>46044</v>
      </c>
      <c r="Z8" s="39">
        <v>46045</v>
      </c>
      <c r="AA8" s="39">
        <v>46048</v>
      </c>
      <c r="AB8" s="39">
        <v>46049</v>
      </c>
      <c r="AC8" s="39">
        <v>46050</v>
      </c>
      <c r="AD8" s="39">
        <v>46051</v>
      </c>
      <c r="AE8" s="39">
        <v>46052</v>
      </c>
      <c r="AF8" s="39">
        <v>46055</v>
      </c>
      <c r="AG8" s="39">
        <v>46056</v>
      </c>
      <c r="AH8" s="39">
        <v>46057</v>
      </c>
      <c r="AI8" s="39">
        <v>46058</v>
      </c>
      <c r="AJ8" s="39">
        <v>46059</v>
      </c>
      <c r="AK8" s="39">
        <v>46062</v>
      </c>
      <c r="AL8" s="39">
        <v>46063</v>
      </c>
      <c r="AM8" s="39">
        <v>46064</v>
      </c>
      <c r="AN8" s="39">
        <v>46065</v>
      </c>
      <c r="AO8" s="39">
        <v>46066</v>
      </c>
      <c r="AP8" s="39">
        <v>46069</v>
      </c>
      <c r="AQ8" s="39">
        <v>46070</v>
      </c>
      <c r="AR8" s="39">
        <v>46071</v>
      </c>
      <c r="AS8" s="39">
        <v>46072</v>
      </c>
      <c r="AT8" s="39">
        <v>46073</v>
      </c>
      <c r="AU8" s="39">
        <v>46074</v>
      </c>
      <c r="AV8" s="39">
        <v>46076</v>
      </c>
      <c r="AW8" s="39">
        <v>46077</v>
      </c>
      <c r="AX8" s="39">
        <v>46078</v>
      </c>
      <c r="AY8" s="39">
        <v>46079</v>
      </c>
      <c r="AZ8" s="39">
        <v>46080</v>
      </c>
      <c r="BA8" s="39">
        <v>46081</v>
      </c>
      <c r="BB8" s="39">
        <v>46083</v>
      </c>
      <c r="BC8" s="39">
        <v>46084</v>
      </c>
      <c r="BD8" s="39">
        <v>46085</v>
      </c>
      <c r="BE8" s="39">
        <v>46086</v>
      </c>
      <c r="BF8" s="39">
        <v>46087</v>
      </c>
      <c r="BG8" s="39">
        <v>46090</v>
      </c>
      <c r="BH8" s="39">
        <v>46091</v>
      </c>
      <c r="BI8" s="39">
        <v>46092</v>
      </c>
      <c r="BJ8" s="39">
        <v>46093</v>
      </c>
      <c r="BK8" s="39">
        <v>46094</v>
      </c>
      <c r="BL8" s="39">
        <v>46097</v>
      </c>
      <c r="BM8" s="39">
        <v>46098</v>
      </c>
      <c r="BN8" s="39">
        <v>46099</v>
      </c>
      <c r="BO8" s="39">
        <v>46106</v>
      </c>
      <c r="BP8" s="39">
        <v>46107</v>
      </c>
      <c r="BQ8" s="39">
        <v>46108</v>
      </c>
      <c r="BR8" s="39">
        <v>46109</v>
      </c>
      <c r="BS8" s="39">
        <v>46111</v>
      </c>
      <c r="BT8" s="39">
        <v>46112</v>
      </c>
      <c r="BU8" s="39">
        <v>46113</v>
      </c>
      <c r="BV8" s="39">
        <v>46114</v>
      </c>
      <c r="BW8" s="39">
        <v>46115</v>
      </c>
      <c r="BX8" s="39">
        <v>46116</v>
      </c>
      <c r="BY8" s="39">
        <v>46118</v>
      </c>
      <c r="BZ8" s="39">
        <v>46119</v>
      </c>
      <c r="CA8" s="39">
        <v>46120</v>
      </c>
      <c r="CB8" s="39">
        <v>46121</v>
      </c>
      <c r="CC8" s="39">
        <v>46122</v>
      </c>
      <c r="CD8" s="39">
        <v>46123</v>
      </c>
      <c r="CE8" s="39">
        <v>46125</v>
      </c>
      <c r="CF8" s="39">
        <v>46126</v>
      </c>
      <c r="CG8" s="39">
        <v>46127</v>
      </c>
      <c r="CH8" s="39">
        <v>46128</v>
      </c>
      <c r="CI8" s="39">
        <v>46129</v>
      </c>
      <c r="CJ8" s="39">
        <v>46130</v>
      </c>
      <c r="CK8" s="39">
        <v>46132</v>
      </c>
      <c r="CL8" s="39">
        <v>46133</v>
      </c>
      <c r="CM8" s="39">
        <v>46134</v>
      </c>
      <c r="CN8" s="39">
        <v>46135</v>
      </c>
      <c r="CO8" s="39">
        <v>46136</v>
      </c>
      <c r="CP8" s="39">
        <v>46137</v>
      </c>
      <c r="CQ8" s="39">
        <v>46138</v>
      </c>
      <c r="CR8" s="39">
        <v>46139</v>
      </c>
      <c r="CS8" s="39">
        <v>46140</v>
      </c>
      <c r="CT8" s="39">
        <v>46141</v>
      </c>
      <c r="CU8" s="39">
        <v>46142</v>
      </c>
      <c r="CV8" s="39">
        <v>46143</v>
      </c>
      <c r="CW8" s="39">
        <v>46144</v>
      </c>
      <c r="CX8" s="39">
        <v>46145</v>
      </c>
      <c r="CY8" s="39">
        <v>46146</v>
      </c>
      <c r="CZ8" s="39">
        <v>46147</v>
      </c>
      <c r="DA8" s="39">
        <v>46148</v>
      </c>
      <c r="DB8" s="39">
        <v>46149</v>
      </c>
      <c r="DC8" s="39">
        <v>46150</v>
      </c>
      <c r="DD8" s="39">
        <v>46151</v>
      </c>
      <c r="DE8" s="39">
        <v>46152</v>
      </c>
      <c r="DF8" s="39">
        <v>46153</v>
      </c>
      <c r="DG8" s="39">
        <v>46154</v>
      </c>
      <c r="DH8" s="39">
        <v>46155</v>
      </c>
      <c r="DI8" s="39">
        <v>46156</v>
      </c>
      <c r="DJ8" s="39">
        <v>46157</v>
      </c>
      <c r="DK8" s="39">
        <v>46158</v>
      </c>
    </row>
    <row r="9" spans="1:115" ht="23.25" customHeight="1" x14ac:dyDescent="0.25">
      <c r="A9" s="54"/>
      <c r="B9" s="262" t="s">
        <v>12</v>
      </c>
      <c r="C9" s="106" t="s">
        <v>10</v>
      </c>
      <c r="D9" s="24">
        <v>468</v>
      </c>
      <c r="E9" s="24">
        <v>522</v>
      </c>
      <c r="F9" s="24">
        <v>300</v>
      </c>
      <c r="G9" s="41"/>
      <c r="H9" s="24">
        <v>276</v>
      </c>
      <c r="I9" s="24">
        <v>540</v>
      </c>
      <c r="J9" s="24">
        <v>444</v>
      </c>
      <c r="K9" s="24">
        <v>462</v>
      </c>
      <c r="L9" s="24">
        <v>600</v>
      </c>
      <c r="M9" s="24">
        <v>582</v>
      </c>
      <c r="N9" s="24">
        <v>429</v>
      </c>
      <c r="O9" s="42"/>
      <c r="P9" s="42"/>
      <c r="Q9" s="42"/>
      <c r="R9" s="41"/>
      <c r="S9" s="41"/>
      <c r="T9" s="41"/>
      <c r="U9" s="41"/>
      <c r="V9" s="42"/>
      <c r="W9" s="41"/>
      <c r="X9" s="42"/>
      <c r="Y9" s="42"/>
      <c r="Z9" s="43"/>
      <c r="AA9" s="43">
        <v>600</v>
      </c>
      <c r="AB9" s="41">
        <v>600</v>
      </c>
      <c r="AC9" s="41">
        <v>612</v>
      </c>
      <c r="AD9" s="41">
        <v>672</v>
      </c>
      <c r="AE9" s="41">
        <v>348</v>
      </c>
      <c r="AF9" s="42">
        <v>468</v>
      </c>
      <c r="AG9" s="41">
        <v>552</v>
      </c>
      <c r="AH9" s="42">
        <v>316</v>
      </c>
      <c r="AI9" s="44">
        <v>503</v>
      </c>
      <c r="AJ9" s="42">
        <v>690</v>
      </c>
      <c r="AK9" s="42">
        <v>438</v>
      </c>
      <c r="AL9" s="42">
        <v>552</v>
      </c>
      <c r="AM9" s="42">
        <v>636</v>
      </c>
      <c r="AN9" s="41">
        <v>754</v>
      </c>
      <c r="AO9" s="41">
        <v>800</v>
      </c>
      <c r="AP9" s="41">
        <v>984</v>
      </c>
      <c r="AQ9" s="41">
        <v>552</v>
      </c>
      <c r="AR9" s="42">
        <v>1152</v>
      </c>
      <c r="AS9" s="41">
        <v>1470</v>
      </c>
      <c r="AT9" s="42">
        <v>858</v>
      </c>
      <c r="AU9" s="42">
        <v>948</v>
      </c>
      <c r="AV9" s="42">
        <v>1498</v>
      </c>
      <c r="AW9" s="42">
        <v>1148</v>
      </c>
      <c r="AX9" s="42">
        <v>1134</v>
      </c>
      <c r="AY9" s="41">
        <v>1098</v>
      </c>
      <c r="AZ9" s="41">
        <v>0</v>
      </c>
      <c r="BA9" s="41">
        <v>582</v>
      </c>
      <c r="BB9" s="42">
        <v>1278</v>
      </c>
      <c r="BC9" s="41">
        <v>732</v>
      </c>
      <c r="BD9" s="42">
        <v>660</v>
      </c>
      <c r="BE9" s="42">
        <v>600</v>
      </c>
      <c r="BF9" s="88">
        <v>0</v>
      </c>
      <c r="BG9" s="88">
        <v>0</v>
      </c>
      <c r="BH9" s="42">
        <v>708</v>
      </c>
      <c r="BI9" s="41">
        <v>600</v>
      </c>
      <c r="BJ9" s="41">
        <v>630</v>
      </c>
      <c r="BK9" s="41">
        <v>864</v>
      </c>
      <c r="BL9" s="41">
        <v>702</v>
      </c>
      <c r="BM9" s="42">
        <v>408</v>
      </c>
      <c r="BN9" s="41">
        <v>630</v>
      </c>
      <c r="BO9" s="42">
        <v>708</v>
      </c>
      <c r="BP9" s="42">
        <v>714</v>
      </c>
      <c r="BQ9" s="42">
        <v>840</v>
      </c>
      <c r="BR9" s="42">
        <v>1091</v>
      </c>
      <c r="BS9" s="42">
        <v>1113</v>
      </c>
      <c r="BT9" s="41">
        <v>894</v>
      </c>
      <c r="BU9" s="41">
        <v>924</v>
      </c>
      <c r="BV9" s="41">
        <v>816</v>
      </c>
      <c r="BW9" s="42">
        <v>1188</v>
      </c>
      <c r="BX9" s="41">
        <v>1224</v>
      </c>
      <c r="BY9" s="42">
        <v>1160</v>
      </c>
      <c r="BZ9" s="42">
        <v>1626</v>
      </c>
      <c r="CA9" s="42">
        <v>1162</v>
      </c>
      <c r="CB9" s="42">
        <v>960</v>
      </c>
      <c r="CC9" s="41">
        <v>720</v>
      </c>
      <c r="CD9" s="41">
        <v>708</v>
      </c>
      <c r="CE9" s="41">
        <v>1200</v>
      </c>
      <c r="CF9" s="41">
        <v>1056</v>
      </c>
      <c r="CG9" s="42">
        <v>1200</v>
      </c>
      <c r="CH9" s="41">
        <v>1272</v>
      </c>
      <c r="CI9" s="42">
        <v>510</v>
      </c>
      <c r="CJ9" s="42">
        <v>1926</v>
      </c>
      <c r="CK9" s="42">
        <v>1782</v>
      </c>
      <c r="CL9" s="42">
        <v>1068</v>
      </c>
      <c r="CM9" s="42"/>
      <c r="CN9" s="41"/>
      <c r="CO9" s="41"/>
      <c r="CP9" s="41"/>
      <c r="CQ9" s="42"/>
      <c r="CR9" s="41"/>
      <c r="CS9" s="42"/>
      <c r="CT9" s="42"/>
      <c r="CU9" s="88"/>
      <c r="CV9" s="88"/>
      <c r="CW9" s="42"/>
      <c r="CX9" s="41"/>
      <c r="CY9" s="41"/>
      <c r="CZ9" s="41"/>
      <c r="DA9" s="41"/>
      <c r="DB9" s="42"/>
      <c r="DC9" s="41"/>
      <c r="DD9" s="42"/>
      <c r="DE9" s="42"/>
      <c r="DF9" s="42"/>
      <c r="DG9" s="42"/>
      <c r="DH9" s="42"/>
      <c r="DI9" s="41"/>
      <c r="DJ9" s="41"/>
      <c r="DK9" s="41"/>
    </row>
    <row r="10" spans="1:115" ht="23.25" customHeight="1" x14ac:dyDescent="0.25">
      <c r="A10" s="54"/>
      <c r="B10" s="262"/>
      <c r="C10" s="106" t="s">
        <v>6</v>
      </c>
      <c r="D10" s="45">
        <f>D9/8</f>
        <v>58.5</v>
      </c>
      <c r="E10" s="45">
        <f>E9/8</f>
        <v>65.25</v>
      </c>
      <c r="F10" s="45">
        <f>F9/10</f>
        <v>30</v>
      </c>
      <c r="G10" s="45">
        <f>G9/8</f>
        <v>0</v>
      </c>
      <c r="H10" s="45">
        <f>+H9/8</f>
        <v>34.5</v>
      </c>
      <c r="I10" s="45">
        <f>+I9/8</f>
        <v>67.5</v>
      </c>
      <c r="J10" s="45">
        <f>J9/10</f>
        <v>44.4</v>
      </c>
      <c r="K10" s="46">
        <f>K9/10</f>
        <v>46.2</v>
      </c>
      <c r="L10" s="46">
        <f>L9/10</f>
        <v>60</v>
      </c>
      <c r="M10" s="46">
        <f>M9/10</f>
        <v>58.2</v>
      </c>
      <c r="N10" s="45">
        <f>SUM(N9:N9)/8</f>
        <v>53.625</v>
      </c>
      <c r="O10" s="45">
        <f>O9/8</f>
        <v>0</v>
      </c>
      <c r="P10" s="45">
        <f>P9/8</f>
        <v>0</v>
      </c>
      <c r="Q10" s="45">
        <f>Q9/8</f>
        <v>0</v>
      </c>
      <c r="R10" s="45">
        <f>R9/8</f>
        <v>0</v>
      </c>
      <c r="S10" s="45">
        <f>S9/8</f>
        <v>0</v>
      </c>
      <c r="T10" s="45">
        <f t="shared" ref="T10:Y10" si="4">SUM(T9:T9)/8</f>
        <v>0</v>
      </c>
      <c r="U10" s="45">
        <f t="shared" si="4"/>
        <v>0</v>
      </c>
      <c r="V10" s="45">
        <f t="shared" si="4"/>
        <v>0</v>
      </c>
      <c r="W10" s="45">
        <f t="shared" si="4"/>
        <v>0</v>
      </c>
      <c r="X10" s="45">
        <f t="shared" si="4"/>
        <v>0</v>
      </c>
      <c r="Y10" s="45">
        <f t="shared" si="4"/>
        <v>0</v>
      </c>
      <c r="Z10" s="45">
        <f>Z9/8</f>
        <v>0</v>
      </c>
      <c r="AA10" s="45">
        <f>AA9/8</f>
        <v>75</v>
      </c>
      <c r="AB10" s="45">
        <f>AB9/8</f>
        <v>75</v>
      </c>
      <c r="AC10" s="45">
        <f>AC9/10</f>
        <v>61.2</v>
      </c>
      <c r="AD10" s="45">
        <f>AD9/8</f>
        <v>84</v>
      </c>
      <c r="AE10" s="45">
        <f>+AE9/8</f>
        <v>43.5</v>
      </c>
      <c r="AF10" s="45">
        <f>+AF9/8</f>
        <v>58.5</v>
      </c>
      <c r="AG10" s="45">
        <f>AG9/9</f>
        <v>61.333333333333336</v>
      </c>
      <c r="AH10" s="45">
        <f>AH9/8</f>
        <v>39.5</v>
      </c>
      <c r="AI10" s="45">
        <f>AI9/8</f>
        <v>62.875</v>
      </c>
      <c r="AJ10" s="45">
        <f>SUM(AJ9:AJ9)/8</f>
        <v>86.25</v>
      </c>
      <c r="AK10" s="45">
        <f>AK9/8</f>
        <v>54.75</v>
      </c>
      <c r="AL10" s="45">
        <f>AL9/8</f>
        <v>69</v>
      </c>
      <c r="AM10" s="45">
        <f>AM9/8</f>
        <v>79.5</v>
      </c>
      <c r="AN10" s="45">
        <f>AN9/8</f>
        <v>94.25</v>
      </c>
      <c r="AO10" s="45">
        <f>AO9/8</f>
        <v>100</v>
      </c>
      <c r="AP10" s="45">
        <f>AP9/9</f>
        <v>109.33333333333333</v>
      </c>
      <c r="AQ10" s="45">
        <f>AQ9/5</f>
        <v>110.4</v>
      </c>
      <c r="AR10" s="45">
        <f>AR9/9</f>
        <v>128</v>
      </c>
      <c r="AS10" s="45">
        <f>AS9/10</f>
        <v>147</v>
      </c>
      <c r="AT10" s="45">
        <f>AT9/8</f>
        <v>107.25</v>
      </c>
      <c r="AU10" s="45">
        <f>AU9/7</f>
        <v>135.42857142857142</v>
      </c>
      <c r="AV10" s="45">
        <f>AV9/9</f>
        <v>166.44444444444446</v>
      </c>
      <c r="AW10" s="45">
        <f>AW9/9</f>
        <v>127.55555555555556</v>
      </c>
      <c r="AX10" s="45">
        <f>AX9/9</f>
        <v>126</v>
      </c>
      <c r="AY10" s="45">
        <f>AY9/9</f>
        <v>122</v>
      </c>
      <c r="AZ10" s="45">
        <f>AZ9/8</f>
        <v>0</v>
      </c>
      <c r="BA10" s="45">
        <f>BA9/5</f>
        <v>116.4</v>
      </c>
      <c r="BB10" s="45">
        <f t="shared" ref="BB10:BI10" si="5">BB9/8</f>
        <v>159.75</v>
      </c>
      <c r="BC10" s="45">
        <f t="shared" si="5"/>
        <v>91.5</v>
      </c>
      <c r="BD10" s="45">
        <f t="shared" si="5"/>
        <v>82.5</v>
      </c>
      <c r="BE10" s="45">
        <f t="shared" si="5"/>
        <v>75</v>
      </c>
      <c r="BF10" s="45">
        <f t="shared" si="5"/>
        <v>0</v>
      </c>
      <c r="BG10" s="45">
        <f t="shared" si="5"/>
        <v>0</v>
      </c>
      <c r="BH10" s="45">
        <f t="shared" si="5"/>
        <v>88.5</v>
      </c>
      <c r="BI10" s="45">
        <f t="shared" si="5"/>
        <v>75</v>
      </c>
      <c r="BJ10" s="45">
        <f>BJ9/8</f>
        <v>78.75</v>
      </c>
      <c r="BK10" s="45">
        <f>BK9/8</f>
        <v>108</v>
      </c>
      <c r="BL10" s="45">
        <f>BL9/8</f>
        <v>87.75</v>
      </c>
      <c r="BM10" s="45">
        <f>BM9/8</f>
        <v>51</v>
      </c>
      <c r="BN10" s="45">
        <f>BN9/9</f>
        <v>70</v>
      </c>
      <c r="BO10" s="45">
        <f>BO9/9</f>
        <v>78.666666666666671</v>
      </c>
      <c r="BP10" s="45">
        <f>BP9/9</f>
        <v>79.333333333333329</v>
      </c>
      <c r="BQ10" s="45">
        <f>BQ9/9</f>
        <v>93.333333333333329</v>
      </c>
      <c r="BR10" s="45">
        <f>BR9/7</f>
        <v>155.85714285714286</v>
      </c>
      <c r="BS10" s="45">
        <f t="shared" ref="BS10:BY10" si="6">BS9/10</f>
        <v>111.3</v>
      </c>
      <c r="BT10" s="45">
        <f t="shared" si="6"/>
        <v>89.4</v>
      </c>
      <c r="BU10" s="45">
        <f t="shared" si="6"/>
        <v>92.4</v>
      </c>
      <c r="BV10" s="45">
        <f t="shared" si="6"/>
        <v>81.599999999999994</v>
      </c>
      <c r="BW10" s="45">
        <f t="shared" si="6"/>
        <v>118.8</v>
      </c>
      <c r="BX10" s="45">
        <f t="shared" si="6"/>
        <v>122.4</v>
      </c>
      <c r="BY10" s="45">
        <f t="shared" si="6"/>
        <v>116</v>
      </c>
      <c r="BZ10" s="45">
        <f>BZ9/12</f>
        <v>135.5</v>
      </c>
      <c r="CA10" s="45">
        <f t="shared" ref="CA10:DJ10" si="7">CA9/12</f>
        <v>96.833333333333329</v>
      </c>
      <c r="CB10" s="45">
        <f t="shared" si="7"/>
        <v>80</v>
      </c>
      <c r="CC10" s="45">
        <f t="shared" si="7"/>
        <v>60</v>
      </c>
      <c r="CD10" s="45">
        <f>CD9/8</f>
        <v>88.5</v>
      </c>
      <c r="CE10" s="45">
        <f>CE9/11</f>
        <v>109.09090909090909</v>
      </c>
      <c r="CF10" s="45">
        <f>CF9/11</f>
        <v>96</v>
      </c>
      <c r="CG10" s="45">
        <f>CG9/11</f>
        <v>109.09090909090909</v>
      </c>
      <c r="CH10" s="45">
        <f>CH9/11</f>
        <v>115.63636363636364</v>
      </c>
      <c r="CI10" s="45">
        <f t="shared" ref="CI10:CK10" si="8">CI9/11</f>
        <v>46.363636363636367</v>
      </c>
      <c r="CJ10" s="45">
        <f t="shared" si="8"/>
        <v>175.09090909090909</v>
      </c>
      <c r="CK10" s="45">
        <f t="shared" si="8"/>
        <v>162</v>
      </c>
      <c r="CL10" s="45">
        <f t="shared" si="7"/>
        <v>89</v>
      </c>
      <c r="CM10" s="45">
        <f t="shared" si="7"/>
        <v>0</v>
      </c>
      <c r="CN10" s="45">
        <f t="shared" si="7"/>
        <v>0</v>
      </c>
      <c r="CO10" s="45">
        <f t="shared" si="7"/>
        <v>0</v>
      </c>
      <c r="CP10" s="45">
        <f t="shared" si="7"/>
        <v>0</v>
      </c>
      <c r="CQ10" s="45">
        <f t="shared" si="7"/>
        <v>0</v>
      </c>
      <c r="CR10" s="45">
        <f t="shared" si="7"/>
        <v>0</v>
      </c>
      <c r="CS10" s="45">
        <f t="shared" si="7"/>
        <v>0</v>
      </c>
      <c r="CT10" s="45">
        <f t="shared" si="7"/>
        <v>0</v>
      </c>
      <c r="CU10" s="45">
        <f t="shared" si="7"/>
        <v>0</v>
      </c>
      <c r="CV10" s="45">
        <f t="shared" si="7"/>
        <v>0</v>
      </c>
      <c r="CW10" s="45">
        <f t="shared" si="7"/>
        <v>0</v>
      </c>
      <c r="CX10" s="45">
        <f t="shared" si="7"/>
        <v>0</v>
      </c>
      <c r="CY10" s="45">
        <f t="shared" si="7"/>
        <v>0</v>
      </c>
      <c r="CZ10" s="45">
        <f t="shared" si="7"/>
        <v>0</v>
      </c>
      <c r="DA10" s="45">
        <f t="shared" si="7"/>
        <v>0</v>
      </c>
      <c r="DB10" s="45">
        <f t="shared" si="7"/>
        <v>0</v>
      </c>
      <c r="DC10" s="45">
        <f t="shared" si="7"/>
        <v>0</v>
      </c>
      <c r="DD10" s="45">
        <f t="shared" si="7"/>
        <v>0</v>
      </c>
      <c r="DE10" s="45">
        <f t="shared" si="7"/>
        <v>0</v>
      </c>
      <c r="DF10" s="45">
        <f t="shared" si="7"/>
        <v>0</v>
      </c>
      <c r="DG10" s="45">
        <f t="shared" si="7"/>
        <v>0</v>
      </c>
      <c r="DH10" s="45">
        <f t="shared" si="7"/>
        <v>0</v>
      </c>
      <c r="DI10" s="45">
        <f t="shared" si="7"/>
        <v>0</v>
      </c>
      <c r="DJ10" s="45">
        <f t="shared" si="7"/>
        <v>0</v>
      </c>
      <c r="DK10" s="45">
        <f>DK9/10</f>
        <v>0</v>
      </c>
    </row>
    <row r="11" spans="1:115" s="12" customFormat="1" ht="23.25" customHeight="1" x14ac:dyDescent="0.25">
      <c r="A11" s="55"/>
      <c r="B11" s="238" t="s">
        <v>9</v>
      </c>
      <c r="C11" s="106" t="str">
        <f>C9</f>
        <v>Output/Day</v>
      </c>
      <c r="D11" s="24">
        <v>126</v>
      </c>
      <c r="E11" s="24">
        <v>150</v>
      </c>
      <c r="F11" s="24">
        <v>144</v>
      </c>
      <c r="G11" s="47"/>
      <c r="H11" s="24">
        <v>222</v>
      </c>
      <c r="I11" s="24">
        <v>246</v>
      </c>
      <c r="J11" s="24">
        <v>216</v>
      </c>
      <c r="K11" s="24">
        <v>246</v>
      </c>
      <c r="L11" s="24">
        <v>246</v>
      </c>
      <c r="M11" s="24">
        <v>288</v>
      </c>
      <c r="N11" s="24">
        <v>342</v>
      </c>
      <c r="O11" s="48"/>
      <c r="P11" s="48"/>
      <c r="Q11" s="47"/>
      <c r="R11" s="47"/>
      <c r="S11" s="47"/>
      <c r="T11" s="47"/>
      <c r="U11" s="47"/>
      <c r="V11" s="48"/>
      <c r="W11" s="47"/>
      <c r="X11" s="48"/>
      <c r="Y11" s="48"/>
      <c r="Z11" s="47"/>
      <c r="AA11" s="47">
        <v>528</v>
      </c>
      <c r="AB11" s="47">
        <v>566</v>
      </c>
      <c r="AC11" s="47">
        <v>467</v>
      </c>
      <c r="AD11" s="47">
        <v>442</v>
      </c>
      <c r="AE11" s="47">
        <v>449</v>
      </c>
      <c r="AF11" s="48">
        <v>583</v>
      </c>
      <c r="AG11" s="48">
        <v>692</v>
      </c>
      <c r="AH11" s="48">
        <v>714</v>
      </c>
      <c r="AI11" s="48">
        <v>774</v>
      </c>
      <c r="AJ11" s="48">
        <v>798</v>
      </c>
      <c r="AK11" s="48">
        <v>408</v>
      </c>
      <c r="AL11" s="48">
        <v>558</v>
      </c>
      <c r="AM11" s="47">
        <v>600</v>
      </c>
      <c r="AN11" s="47">
        <v>870</v>
      </c>
      <c r="AO11" s="47">
        <v>719</v>
      </c>
      <c r="AP11" s="47">
        <v>697</v>
      </c>
      <c r="AQ11" s="47">
        <v>623</v>
      </c>
      <c r="AR11" s="48">
        <v>767</v>
      </c>
      <c r="AS11" s="47">
        <v>676</v>
      </c>
      <c r="AT11" s="48">
        <v>702</v>
      </c>
      <c r="AU11" s="48">
        <v>420</v>
      </c>
      <c r="AV11" s="48">
        <v>490</v>
      </c>
      <c r="AW11" s="48">
        <v>642</v>
      </c>
      <c r="AX11" s="47">
        <v>621</v>
      </c>
      <c r="AY11" s="47">
        <f>789-55</f>
        <v>734</v>
      </c>
      <c r="AZ11" s="47">
        <v>733</v>
      </c>
      <c r="BA11" s="47">
        <v>384</v>
      </c>
      <c r="BB11" s="48">
        <v>510</v>
      </c>
      <c r="BC11" s="47">
        <v>612</v>
      </c>
      <c r="BD11" s="48">
        <v>580</v>
      </c>
      <c r="BE11" s="48">
        <v>568</v>
      </c>
      <c r="BF11" s="48">
        <v>568</v>
      </c>
      <c r="BG11" s="48">
        <v>480</v>
      </c>
      <c r="BH11" s="47">
        <v>516</v>
      </c>
      <c r="BI11" s="47">
        <v>600</v>
      </c>
      <c r="BJ11" s="47">
        <v>598</v>
      </c>
      <c r="BK11" s="47">
        <v>651</v>
      </c>
      <c r="BL11" s="47">
        <v>606</v>
      </c>
      <c r="BM11" s="48">
        <v>639</v>
      </c>
      <c r="BN11" s="47">
        <v>504</v>
      </c>
      <c r="BO11" s="48">
        <v>582</v>
      </c>
      <c r="BP11" s="48">
        <v>636</v>
      </c>
      <c r="BQ11" s="48">
        <v>630</v>
      </c>
      <c r="BR11" s="48">
        <v>732</v>
      </c>
      <c r="BS11" s="47">
        <v>815</v>
      </c>
      <c r="BT11" s="47">
        <v>798</v>
      </c>
      <c r="BU11" s="47">
        <v>732</v>
      </c>
      <c r="BV11" s="47">
        <v>696</v>
      </c>
      <c r="BW11" s="48">
        <v>726</v>
      </c>
      <c r="BX11" s="47">
        <v>750</v>
      </c>
      <c r="BY11" s="48">
        <v>753</v>
      </c>
      <c r="BZ11" s="48">
        <v>636</v>
      </c>
      <c r="CA11" s="48">
        <v>609</v>
      </c>
      <c r="CB11" s="47">
        <v>732</v>
      </c>
      <c r="CC11" s="47">
        <v>736</v>
      </c>
      <c r="CD11" s="47">
        <v>696</v>
      </c>
      <c r="CE11" s="47">
        <v>743</v>
      </c>
      <c r="CF11" s="47">
        <v>710</v>
      </c>
      <c r="CG11" s="48">
        <v>804</v>
      </c>
      <c r="CH11" s="47">
        <v>726</v>
      </c>
      <c r="CI11" s="48">
        <v>774</v>
      </c>
      <c r="CJ11" s="48">
        <v>696</v>
      </c>
      <c r="CK11" s="48">
        <v>892</v>
      </c>
      <c r="CL11" s="48">
        <v>916</v>
      </c>
      <c r="CM11" s="47"/>
      <c r="CN11" s="47"/>
      <c r="CO11" s="47"/>
      <c r="CP11" s="47"/>
      <c r="CQ11" s="48"/>
      <c r="CR11" s="47"/>
      <c r="CS11" s="48"/>
      <c r="CT11" s="48"/>
      <c r="CU11" s="48"/>
      <c r="CV11" s="48"/>
      <c r="CW11" s="47"/>
      <c r="CX11" s="47"/>
      <c r="CY11" s="47"/>
      <c r="CZ11" s="47"/>
      <c r="DA11" s="47"/>
      <c r="DB11" s="48"/>
      <c r="DC11" s="47"/>
      <c r="DD11" s="48"/>
      <c r="DE11" s="48"/>
      <c r="DF11" s="48"/>
      <c r="DG11" s="48"/>
      <c r="DH11" s="47"/>
      <c r="DI11" s="47"/>
      <c r="DJ11" s="47"/>
      <c r="DK11" s="47"/>
    </row>
    <row r="12" spans="1:115" ht="23.25" customHeight="1" x14ac:dyDescent="0.25">
      <c r="A12" s="54"/>
      <c r="B12" s="238"/>
      <c r="C12" s="106" t="s">
        <v>6</v>
      </c>
      <c r="D12" s="45">
        <f>D11/9</f>
        <v>14</v>
      </c>
      <c r="E12" s="45">
        <f>E11/9</f>
        <v>16.666666666666668</v>
      </c>
      <c r="F12" s="45">
        <f>F11/10</f>
        <v>14.4</v>
      </c>
      <c r="G12" s="45">
        <f>G11/9</f>
        <v>0</v>
      </c>
      <c r="H12" s="45">
        <f>+H11/9</f>
        <v>24.666666666666668</v>
      </c>
      <c r="I12" s="45">
        <f>+I11/9</f>
        <v>27.333333333333332</v>
      </c>
      <c r="J12" s="45">
        <f>J11/10</f>
        <v>21.6</v>
      </c>
      <c r="K12" s="45">
        <f>K11/10</f>
        <v>24.6</v>
      </c>
      <c r="L12" s="45">
        <f>L11/10</f>
        <v>24.6</v>
      </c>
      <c r="M12" s="45">
        <f>M11/10</f>
        <v>28.8</v>
      </c>
      <c r="N12" s="45">
        <f>SUM(N11:N11)/8</f>
        <v>42.75</v>
      </c>
      <c r="O12" s="45">
        <f>O11/8</f>
        <v>0</v>
      </c>
      <c r="P12" s="45">
        <f>P11/8</f>
        <v>0</v>
      </c>
      <c r="Q12" s="45">
        <f>Q11/8</f>
        <v>0</v>
      </c>
      <c r="R12" s="45">
        <f>R11/8</f>
        <v>0</v>
      </c>
      <c r="S12" s="45">
        <f>S11/8</f>
        <v>0</v>
      </c>
      <c r="T12" s="45">
        <f t="shared" ref="T12:Y12" si="9">SUM(T11:T11)/8</f>
        <v>0</v>
      </c>
      <c r="U12" s="45">
        <f t="shared" si="9"/>
        <v>0</v>
      </c>
      <c r="V12" s="45">
        <f t="shared" si="9"/>
        <v>0</v>
      </c>
      <c r="W12" s="45">
        <f t="shared" si="9"/>
        <v>0</v>
      </c>
      <c r="X12" s="45">
        <f t="shared" si="9"/>
        <v>0</v>
      </c>
      <c r="Y12" s="45">
        <f t="shared" si="9"/>
        <v>0</v>
      </c>
      <c r="Z12" s="45">
        <f>Z11/9</f>
        <v>0</v>
      </c>
      <c r="AA12" s="45">
        <f>AA11/9</f>
        <v>58.666666666666664</v>
      </c>
      <c r="AB12" s="45">
        <f>AB11/9</f>
        <v>62.888888888888886</v>
      </c>
      <c r="AC12" s="45">
        <f>AC11/10</f>
        <v>46.7</v>
      </c>
      <c r="AD12" s="45">
        <f>AD11/9</f>
        <v>49.111111111111114</v>
      </c>
      <c r="AE12" s="45">
        <f>+AE11/9</f>
        <v>49.888888888888886</v>
      </c>
      <c r="AF12" s="45">
        <f>+AF11/9</f>
        <v>64.777777777777771</v>
      </c>
      <c r="AG12" s="45">
        <f>AG11/9</f>
        <v>76.888888888888886</v>
      </c>
      <c r="AH12" s="45">
        <f>AH11/9</f>
        <v>79.333333333333329</v>
      </c>
      <c r="AI12" s="45">
        <f>AI11/9</f>
        <v>86</v>
      </c>
      <c r="AJ12" s="45">
        <f>AJ11/9</f>
        <v>88.666666666666671</v>
      </c>
      <c r="AK12" s="45">
        <f>AK11/9</f>
        <v>45.333333333333336</v>
      </c>
      <c r="AL12" s="45">
        <f>AL11/10</f>
        <v>55.8</v>
      </c>
      <c r="AM12" s="45">
        <f t="shared" ref="AM12:AT12" si="10">AM11/9</f>
        <v>66.666666666666671</v>
      </c>
      <c r="AN12" s="45">
        <f>AN11/10</f>
        <v>87</v>
      </c>
      <c r="AO12" s="45">
        <f t="shared" si="10"/>
        <v>79.888888888888886</v>
      </c>
      <c r="AP12" s="45">
        <f t="shared" si="10"/>
        <v>77.444444444444443</v>
      </c>
      <c r="AQ12" s="45">
        <f>AQ11/7</f>
        <v>89</v>
      </c>
      <c r="AR12" s="45">
        <f>AR11/10</f>
        <v>76.7</v>
      </c>
      <c r="AS12" s="45">
        <f>AS11/10</f>
        <v>67.599999999999994</v>
      </c>
      <c r="AT12" s="45">
        <f t="shared" si="10"/>
        <v>78</v>
      </c>
      <c r="AU12" s="45">
        <f>AU11/7</f>
        <v>60</v>
      </c>
      <c r="AV12" s="45">
        <f>AV11/10</f>
        <v>49</v>
      </c>
      <c r="AW12" s="45">
        <f>AW11/10</f>
        <v>64.2</v>
      </c>
      <c r="AX12" s="45">
        <f>AX11/10</f>
        <v>62.1</v>
      </c>
      <c r="AY12" s="45">
        <f>AY11/10</f>
        <v>73.400000000000006</v>
      </c>
      <c r="AZ12" s="45">
        <f>AZ11/10</f>
        <v>73.3</v>
      </c>
      <c r="BA12" s="45">
        <f>BA11/7</f>
        <v>54.857142857142854</v>
      </c>
      <c r="BB12" s="45">
        <f t="shared" ref="BB12:BH12" si="11">BB11/10</f>
        <v>51</v>
      </c>
      <c r="BC12" s="45">
        <f t="shared" si="11"/>
        <v>61.2</v>
      </c>
      <c r="BD12" s="45">
        <f t="shared" si="11"/>
        <v>58</v>
      </c>
      <c r="BE12" s="45">
        <f t="shared" si="11"/>
        <v>56.8</v>
      </c>
      <c r="BF12" s="45">
        <f t="shared" si="11"/>
        <v>56.8</v>
      </c>
      <c r="BG12" s="45">
        <f t="shared" si="11"/>
        <v>48</v>
      </c>
      <c r="BH12" s="45">
        <f t="shared" si="11"/>
        <v>51.6</v>
      </c>
      <c r="BI12" s="45">
        <f>BI11/10</f>
        <v>60</v>
      </c>
      <c r="BJ12" s="45">
        <f>+BJ11/10</f>
        <v>59.8</v>
      </c>
      <c r="BK12" s="45">
        <f t="shared" ref="BK12:BQ12" si="12">+BK11/10</f>
        <v>65.099999999999994</v>
      </c>
      <c r="BL12" s="45">
        <f t="shared" si="12"/>
        <v>60.6</v>
      </c>
      <c r="BM12" s="45">
        <f t="shared" si="12"/>
        <v>63.9</v>
      </c>
      <c r="BN12" s="45">
        <f t="shared" si="12"/>
        <v>50.4</v>
      </c>
      <c r="BO12" s="45">
        <f t="shared" si="12"/>
        <v>58.2</v>
      </c>
      <c r="BP12" s="45">
        <f t="shared" si="12"/>
        <v>63.6</v>
      </c>
      <c r="BQ12" s="45">
        <f t="shared" si="12"/>
        <v>63</v>
      </c>
      <c r="BR12" s="45">
        <f>+BR11/10</f>
        <v>73.2</v>
      </c>
      <c r="BS12" s="45">
        <f>+BS11/11</f>
        <v>74.090909090909093</v>
      </c>
      <c r="BT12" s="45">
        <f>+BT11/11</f>
        <v>72.545454545454547</v>
      </c>
      <c r="BU12" s="45">
        <f t="shared" ref="BU12:DK12" si="13">+BU11/12</f>
        <v>61</v>
      </c>
      <c r="BV12" s="45">
        <f t="shared" si="13"/>
        <v>58</v>
      </c>
      <c r="BW12" s="45">
        <f t="shared" si="13"/>
        <v>60.5</v>
      </c>
      <c r="BX12" s="45">
        <f t="shared" si="13"/>
        <v>62.5</v>
      </c>
      <c r="BY12" s="45">
        <f t="shared" si="13"/>
        <v>62.75</v>
      </c>
      <c r="BZ12" s="45">
        <f t="shared" si="13"/>
        <v>53</v>
      </c>
      <c r="CA12" s="45">
        <f t="shared" si="13"/>
        <v>50.75</v>
      </c>
      <c r="CB12" s="45">
        <f t="shared" si="13"/>
        <v>61</v>
      </c>
      <c r="CC12" s="45">
        <f t="shared" si="13"/>
        <v>61.333333333333336</v>
      </c>
      <c r="CD12" s="45">
        <f>+CD11/10</f>
        <v>69.599999999999994</v>
      </c>
      <c r="CE12" s="45">
        <f t="shared" si="13"/>
        <v>61.916666666666664</v>
      </c>
      <c r="CF12" s="45">
        <f t="shared" si="13"/>
        <v>59.166666666666664</v>
      </c>
      <c r="CG12" s="45">
        <f t="shared" si="13"/>
        <v>67</v>
      </c>
      <c r="CH12" s="45">
        <f t="shared" si="13"/>
        <v>60.5</v>
      </c>
      <c r="CI12" s="45">
        <f t="shared" si="13"/>
        <v>64.5</v>
      </c>
      <c r="CJ12" s="45">
        <f t="shared" si="13"/>
        <v>58</v>
      </c>
      <c r="CK12" s="45">
        <f t="shared" si="13"/>
        <v>74.333333333333329</v>
      </c>
      <c r="CL12" s="45">
        <f t="shared" si="13"/>
        <v>76.333333333333329</v>
      </c>
      <c r="CM12" s="45">
        <f t="shared" si="13"/>
        <v>0</v>
      </c>
      <c r="CN12" s="45">
        <f t="shared" si="13"/>
        <v>0</v>
      </c>
      <c r="CO12" s="45">
        <f t="shared" si="13"/>
        <v>0</v>
      </c>
      <c r="CP12" s="45">
        <f t="shared" si="13"/>
        <v>0</v>
      </c>
      <c r="CQ12" s="45">
        <f t="shared" si="13"/>
        <v>0</v>
      </c>
      <c r="CR12" s="45">
        <f t="shared" si="13"/>
        <v>0</v>
      </c>
      <c r="CS12" s="45">
        <f t="shared" si="13"/>
        <v>0</v>
      </c>
      <c r="CT12" s="45">
        <f t="shared" si="13"/>
        <v>0</v>
      </c>
      <c r="CU12" s="45">
        <f t="shared" si="13"/>
        <v>0</v>
      </c>
      <c r="CV12" s="45">
        <f t="shared" si="13"/>
        <v>0</v>
      </c>
      <c r="CW12" s="45">
        <f t="shared" si="13"/>
        <v>0</v>
      </c>
      <c r="CX12" s="45">
        <f t="shared" si="13"/>
        <v>0</v>
      </c>
      <c r="CY12" s="45">
        <f t="shared" si="13"/>
        <v>0</v>
      </c>
      <c r="CZ12" s="45">
        <f t="shared" si="13"/>
        <v>0</v>
      </c>
      <c r="DA12" s="45">
        <f t="shared" si="13"/>
        <v>0</v>
      </c>
      <c r="DB12" s="45">
        <f t="shared" si="13"/>
        <v>0</v>
      </c>
      <c r="DC12" s="45">
        <f t="shared" si="13"/>
        <v>0</v>
      </c>
      <c r="DD12" s="45">
        <f t="shared" si="13"/>
        <v>0</v>
      </c>
      <c r="DE12" s="45">
        <f t="shared" si="13"/>
        <v>0</v>
      </c>
      <c r="DF12" s="45">
        <f t="shared" si="13"/>
        <v>0</v>
      </c>
      <c r="DG12" s="45">
        <f t="shared" si="13"/>
        <v>0</v>
      </c>
      <c r="DH12" s="45">
        <f t="shared" si="13"/>
        <v>0</v>
      </c>
      <c r="DI12" s="45">
        <f t="shared" si="13"/>
        <v>0</v>
      </c>
      <c r="DJ12" s="45">
        <f t="shared" si="13"/>
        <v>0</v>
      </c>
      <c r="DK12" s="45">
        <f t="shared" si="13"/>
        <v>0</v>
      </c>
    </row>
    <row r="13" spans="1:115" s="12" customFormat="1" ht="23.25" customHeight="1" x14ac:dyDescent="0.25">
      <c r="A13" s="55"/>
      <c r="B13" s="238" t="s">
        <v>8</v>
      </c>
      <c r="C13" s="106" t="str">
        <f>C9</f>
        <v>Output/Day</v>
      </c>
      <c r="D13" s="24">
        <v>72</v>
      </c>
      <c r="E13" s="24">
        <v>126</v>
      </c>
      <c r="F13" s="24">
        <v>150</v>
      </c>
      <c r="G13" s="47"/>
      <c r="H13" s="24">
        <v>107</v>
      </c>
      <c r="I13" s="24">
        <v>270</v>
      </c>
      <c r="J13" s="24">
        <v>180</v>
      </c>
      <c r="K13" s="24">
        <v>246</v>
      </c>
      <c r="L13" s="24">
        <v>342</v>
      </c>
      <c r="M13" s="24">
        <v>402</v>
      </c>
      <c r="N13" s="24">
        <v>420</v>
      </c>
      <c r="O13" s="48"/>
      <c r="P13" s="48"/>
      <c r="Q13" s="47"/>
      <c r="R13" s="47"/>
      <c r="S13" s="47"/>
      <c r="T13" s="47"/>
      <c r="U13" s="47"/>
      <c r="V13" s="48"/>
      <c r="W13" s="47"/>
      <c r="X13" s="48"/>
      <c r="Y13" s="48"/>
      <c r="Z13" s="47"/>
      <c r="AA13" s="47">
        <v>541</v>
      </c>
      <c r="AB13" s="47">
        <v>600</v>
      </c>
      <c r="AC13" s="47">
        <v>504</v>
      </c>
      <c r="AD13" s="47">
        <v>722</v>
      </c>
      <c r="AE13" s="47">
        <v>504</v>
      </c>
      <c r="AF13" s="48">
        <v>540</v>
      </c>
      <c r="AG13" s="48">
        <v>612</v>
      </c>
      <c r="AH13" s="48">
        <v>703</v>
      </c>
      <c r="AI13" s="48">
        <v>774</v>
      </c>
      <c r="AJ13" s="48">
        <v>800</v>
      </c>
      <c r="AK13" s="48">
        <v>400</v>
      </c>
      <c r="AL13" s="48">
        <v>626</v>
      </c>
      <c r="AM13" s="47">
        <v>503</v>
      </c>
      <c r="AN13" s="47">
        <v>882</v>
      </c>
      <c r="AO13" s="47">
        <v>744</v>
      </c>
      <c r="AP13" s="47">
        <v>750</v>
      </c>
      <c r="AQ13" s="47">
        <v>516</v>
      </c>
      <c r="AR13" s="48">
        <v>791</v>
      </c>
      <c r="AS13" s="47">
        <v>746</v>
      </c>
      <c r="AT13" s="48">
        <v>518</v>
      </c>
      <c r="AU13" s="48">
        <v>462</v>
      </c>
      <c r="AV13" s="48">
        <v>638</v>
      </c>
      <c r="AW13" s="48">
        <v>600</v>
      </c>
      <c r="AX13" s="47">
        <v>620</v>
      </c>
      <c r="AY13" s="47">
        <v>744</v>
      </c>
      <c r="AZ13" s="47">
        <v>710</v>
      </c>
      <c r="BA13" s="47">
        <v>402</v>
      </c>
      <c r="BB13" s="48">
        <v>636</v>
      </c>
      <c r="BC13" s="47">
        <v>702</v>
      </c>
      <c r="BD13" s="48">
        <v>630</v>
      </c>
      <c r="BE13" s="48">
        <v>546</v>
      </c>
      <c r="BF13" s="48">
        <v>540</v>
      </c>
      <c r="BG13" s="48">
        <v>510</v>
      </c>
      <c r="BH13" s="47">
        <v>600</v>
      </c>
      <c r="BI13" s="47">
        <v>600</v>
      </c>
      <c r="BJ13" s="47">
        <v>600</v>
      </c>
      <c r="BK13" s="47">
        <v>660</v>
      </c>
      <c r="BL13" s="47">
        <v>702</v>
      </c>
      <c r="BM13" s="48">
        <v>702</v>
      </c>
      <c r="BN13" s="47">
        <v>600</v>
      </c>
      <c r="BO13" s="48">
        <v>600</v>
      </c>
      <c r="BP13" s="48">
        <v>720</v>
      </c>
      <c r="BQ13" s="48">
        <v>720</v>
      </c>
      <c r="BR13" s="48">
        <v>810</v>
      </c>
      <c r="BS13" s="47">
        <v>810</v>
      </c>
      <c r="BT13" s="47">
        <v>840</v>
      </c>
      <c r="BU13" s="47">
        <v>858</v>
      </c>
      <c r="BV13" s="47">
        <v>800</v>
      </c>
      <c r="BW13" s="48">
        <v>840</v>
      </c>
      <c r="BX13" s="47">
        <v>900</v>
      </c>
      <c r="BY13" s="48">
        <v>840</v>
      </c>
      <c r="BZ13" s="48">
        <v>750</v>
      </c>
      <c r="CA13" s="48">
        <v>804</v>
      </c>
      <c r="CB13" s="47">
        <v>804</v>
      </c>
      <c r="CC13" s="47">
        <v>888</v>
      </c>
      <c r="CD13" s="47">
        <v>750</v>
      </c>
      <c r="CE13" s="47">
        <v>900</v>
      </c>
      <c r="CF13" s="47">
        <v>840</v>
      </c>
      <c r="CG13" s="48">
        <v>840</v>
      </c>
      <c r="CH13" s="47">
        <v>888</v>
      </c>
      <c r="CI13" s="48">
        <v>864</v>
      </c>
      <c r="CJ13" s="48">
        <v>840</v>
      </c>
      <c r="CK13" s="48">
        <v>900</v>
      </c>
      <c r="CL13" s="48">
        <v>980</v>
      </c>
      <c r="CM13" s="47"/>
      <c r="CN13" s="47"/>
      <c r="CO13" s="47"/>
      <c r="CP13" s="47"/>
      <c r="CQ13" s="48"/>
      <c r="CR13" s="47"/>
      <c r="CS13" s="48"/>
      <c r="CT13" s="48"/>
      <c r="CU13" s="48"/>
      <c r="CV13" s="48"/>
      <c r="CW13" s="47"/>
      <c r="CX13" s="47"/>
      <c r="CY13" s="47"/>
      <c r="CZ13" s="47"/>
      <c r="DA13" s="47"/>
      <c r="DB13" s="48"/>
      <c r="DC13" s="47"/>
      <c r="DD13" s="48"/>
      <c r="DE13" s="48"/>
      <c r="DF13" s="48"/>
      <c r="DG13" s="48"/>
      <c r="DH13" s="47"/>
      <c r="DI13" s="47"/>
      <c r="DJ13" s="47"/>
      <c r="DK13" s="47"/>
    </row>
    <row r="14" spans="1:115" ht="23.25" customHeight="1" x14ac:dyDescent="0.25">
      <c r="A14" s="54"/>
      <c r="B14" s="238"/>
      <c r="C14" s="106" t="s">
        <v>6</v>
      </c>
      <c r="D14" s="45">
        <f>D13/9</f>
        <v>8</v>
      </c>
      <c r="E14" s="45">
        <f>E13/9</f>
        <v>14</v>
      </c>
      <c r="F14" s="45">
        <f>F13/9</f>
        <v>16.666666666666668</v>
      </c>
      <c r="G14" s="45">
        <f t="shared" ref="G14:M14" si="14">G13/9</f>
        <v>0</v>
      </c>
      <c r="H14" s="45">
        <f>+H13/9</f>
        <v>11.888888888888889</v>
      </c>
      <c r="I14" s="45">
        <f>+I13/9</f>
        <v>30</v>
      </c>
      <c r="J14" s="45">
        <f t="shared" si="14"/>
        <v>20</v>
      </c>
      <c r="K14" s="45">
        <f t="shared" si="14"/>
        <v>27.333333333333332</v>
      </c>
      <c r="L14" s="45">
        <f t="shared" si="14"/>
        <v>38</v>
      </c>
      <c r="M14" s="45">
        <f t="shared" si="14"/>
        <v>44.666666666666664</v>
      </c>
      <c r="N14" s="45">
        <f>SUM(N13:N13)/8</f>
        <v>52.5</v>
      </c>
      <c r="O14" s="45">
        <f>O13/8</f>
        <v>0</v>
      </c>
      <c r="P14" s="45">
        <f>P13/8</f>
        <v>0</v>
      </c>
      <c r="Q14" s="45">
        <f>Q13/8</f>
        <v>0</v>
      </c>
      <c r="R14" s="45">
        <f>R13/8</f>
        <v>0</v>
      </c>
      <c r="S14" s="45">
        <f>S13/8</f>
        <v>0</v>
      </c>
      <c r="T14" s="45">
        <f t="shared" ref="T14:Y14" si="15">SUM(T13:T13)/8</f>
        <v>0</v>
      </c>
      <c r="U14" s="45">
        <f t="shared" si="15"/>
        <v>0</v>
      </c>
      <c r="V14" s="45">
        <f t="shared" si="15"/>
        <v>0</v>
      </c>
      <c r="W14" s="45">
        <f t="shared" si="15"/>
        <v>0</v>
      </c>
      <c r="X14" s="45">
        <f t="shared" si="15"/>
        <v>0</v>
      </c>
      <c r="Y14" s="45">
        <f t="shared" si="15"/>
        <v>0</v>
      </c>
      <c r="Z14" s="45">
        <f>Z13/9</f>
        <v>0</v>
      </c>
      <c r="AA14" s="45">
        <f>AA13/9</f>
        <v>60.111111111111114</v>
      </c>
      <c r="AB14" s="45">
        <f>AB13/9</f>
        <v>66.666666666666671</v>
      </c>
      <c r="AC14" s="45">
        <f>AC13/9</f>
        <v>56</v>
      </c>
      <c r="AD14" s="45">
        <f>AD13/9</f>
        <v>80.222222222222229</v>
      </c>
      <c r="AE14" s="45">
        <f>+AE13/9</f>
        <v>56</v>
      </c>
      <c r="AF14" s="45">
        <f>+AF13/9</f>
        <v>60</v>
      </c>
      <c r="AG14" s="45">
        <f>AG13/9</f>
        <v>68</v>
      </c>
      <c r="AH14" s="45">
        <f>AH13/9</f>
        <v>78.111111111111114</v>
      </c>
      <c r="AI14" s="45">
        <f>AI13/9</f>
        <v>86</v>
      </c>
      <c r="AJ14" s="45">
        <f>AJ13/9</f>
        <v>88.888888888888886</v>
      </c>
      <c r="AK14" s="45">
        <f>AK13/9</f>
        <v>44.444444444444443</v>
      </c>
      <c r="AL14" s="45">
        <f>AL13/10</f>
        <v>62.6</v>
      </c>
      <c r="AM14" s="45">
        <f t="shared" ref="AM14:AT14" si="16">AM13/9</f>
        <v>55.888888888888886</v>
      </c>
      <c r="AN14" s="45">
        <f>AN13/10</f>
        <v>88.2</v>
      </c>
      <c r="AO14" s="45">
        <f t="shared" si="16"/>
        <v>82.666666666666671</v>
      </c>
      <c r="AP14" s="45">
        <f t="shared" si="16"/>
        <v>83.333333333333329</v>
      </c>
      <c r="AQ14" s="45">
        <f>AQ13/7</f>
        <v>73.714285714285708</v>
      </c>
      <c r="AR14" s="45">
        <f>AR13/10</f>
        <v>79.099999999999994</v>
      </c>
      <c r="AS14" s="45">
        <f>AS13/10</f>
        <v>74.599999999999994</v>
      </c>
      <c r="AT14" s="45">
        <f t="shared" si="16"/>
        <v>57.555555555555557</v>
      </c>
      <c r="AU14" s="45">
        <f>AU13/7</f>
        <v>66</v>
      </c>
      <c r="AV14" s="45">
        <f>AV13/10</f>
        <v>63.8</v>
      </c>
      <c r="AW14" s="45">
        <f>AW13/10</f>
        <v>60</v>
      </c>
      <c r="AX14" s="45">
        <f>AX13/10</f>
        <v>62</v>
      </c>
      <c r="AY14" s="45">
        <f>AY13/10</f>
        <v>74.400000000000006</v>
      </c>
      <c r="AZ14" s="45">
        <f>AZ13/10</f>
        <v>71</v>
      </c>
      <c r="BA14" s="45">
        <f>BA13/7</f>
        <v>57.428571428571431</v>
      </c>
      <c r="BB14" s="45">
        <f t="shared" ref="BB14:BH14" si="17">BB13/10</f>
        <v>63.6</v>
      </c>
      <c r="BC14" s="45">
        <f t="shared" si="17"/>
        <v>70.2</v>
      </c>
      <c r="BD14" s="45">
        <f t="shared" si="17"/>
        <v>63</v>
      </c>
      <c r="BE14" s="45">
        <f t="shared" si="17"/>
        <v>54.6</v>
      </c>
      <c r="BF14" s="45">
        <f t="shared" si="17"/>
        <v>54</v>
      </c>
      <c r="BG14" s="45">
        <f t="shared" si="17"/>
        <v>51</v>
      </c>
      <c r="BH14" s="45">
        <f t="shared" si="17"/>
        <v>60</v>
      </c>
      <c r="BI14" s="45">
        <f>BI13/10</f>
        <v>60</v>
      </c>
      <c r="BJ14" s="45">
        <f>BJ13/10</f>
        <v>60</v>
      </c>
      <c r="BK14" s="45">
        <f t="shared" ref="BK14:BQ14" si="18">BK13/10</f>
        <v>66</v>
      </c>
      <c r="BL14" s="45">
        <f t="shared" si="18"/>
        <v>70.2</v>
      </c>
      <c r="BM14" s="45">
        <f t="shared" si="18"/>
        <v>70.2</v>
      </c>
      <c r="BN14" s="45">
        <f t="shared" si="18"/>
        <v>60</v>
      </c>
      <c r="BO14" s="45">
        <f t="shared" si="18"/>
        <v>60</v>
      </c>
      <c r="BP14" s="45">
        <f t="shared" si="18"/>
        <v>72</v>
      </c>
      <c r="BQ14" s="45">
        <f t="shared" si="18"/>
        <v>72</v>
      </c>
      <c r="BR14" s="45">
        <f>BR13/10</f>
        <v>81</v>
      </c>
      <c r="BS14" s="45">
        <f>BS13/11</f>
        <v>73.63636363636364</v>
      </c>
      <c r="BT14" s="45">
        <f>BT13/11</f>
        <v>76.36363636363636</v>
      </c>
      <c r="BU14" s="45">
        <f t="shared" ref="BU14:DK14" si="19">BU13/12</f>
        <v>71.5</v>
      </c>
      <c r="BV14" s="45">
        <f t="shared" si="19"/>
        <v>66.666666666666671</v>
      </c>
      <c r="BW14" s="45">
        <f t="shared" si="19"/>
        <v>70</v>
      </c>
      <c r="BX14" s="45">
        <f t="shared" si="19"/>
        <v>75</v>
      </c>
      <c r="BY14" s="45">
        <f t="shared" si="19"/>
        <v>70</v>
      </c>
      <c r="BZ14" s="45">
        <f t="shared" si="19"/>
        <v>62.5</v>
      </c>
      <c r="CA14" s="45">
        <f t="shared" si="19"/>
        <v>67</v>
      </c>
      <c r="CB14" s="45">
        <f t="shared" si="19"/>
        <v>67</v>
      </c>
      <c r="CC14" s="45">
        <f t="shared" si="19"/>
        <v>74</v>
      </c>
      <c r="CD14" s="45">
        <f>CD13/10</f>
        <v>75</v>
      </c>
      <c r="CE14" s="45">
        <f t="shared" si="19"/>
        <v>75</v>
      </c>
      <c r="CF14" s="45">
        <f t="shared" si="19"/>
        <v>70</v>
      </c>
      <c r="CG14" s="45">
        <f t="shared" si="19"/>
        <v>70</v>
      </c>
      <c r="CH14" s="45">
        <f t="shared" si="19"/>
        <v>74</v>
      </c>
      <c r="CI14" s="45">
        <f t="shared" si="19"/>
        <v>72</v>
      </c>
      <c r="CJ14" s="45">
        <f t="shared" si="19"/>
        <v>70</v>
      </c>
      <c r="CK14" s="45">
        <f t="shared" si="19"/>
        <v>75</v>
      </c>
      <c r="CL14" s="45">
        <f t="shared" si="19"/>
        <v>81.666666666666671</v>
      </c>
      <c r="CM14" s="45">
        <f t="shared" si="19"/>
        <v>0</v>
      </c>
      <c r="CN14" s="45">
        <f t="shared" si="19"/>
        <v>0</v>
      </c>
      <c r="CO14" s="45">
        <f t="shared" si="19"/>
        <v>0</v>
      </c>
      <c r="CP14" s="45">
        <f t="shared" si="19"/>
        <v>0</v>
      </c>
      <c r="CQ14" s="45">
        <f t="shared" si="19"/>
        <v>0</v>
      </c>
      <c r="CR14" s="45">
        <f t="shared" si="19"/>
        <v>0</v>
      </c>
      <c r="CS14" s="45">
        <f t="shared" si="19"/>
        <v>0</v>
      </c>
      <c r="CT14" s="45">
        <f t="shared" si="19"/>
        <v>0</v>
      </c>
      <c r="CU14" s="45">
        <f t="shared" si="19"/>
        <v>0</v>
      </c>
      <c r="CV14" s="45">
        <f t="shared" si="19"/>
        <v>0</v>
      </c>
      <c r="CW14" s="45">
        <f t="shared" si="19"/>
        <v>0</v>
      </c>
      <c r="CX14" s="45">
        <f t="shared" si="19"/>
        <v>0</v>
      </c>
      <c r="CY14" s="45">
        <f t="shared" si="19"/>
        <v>0</v>
      </c>
      <c r="CZ14" s="45">
        <f t="shared" si="19"/>
        <v>0</v>
      </c>
      <c r="DA14" s="45">
        <f t="shared" si="19"/>
        <v>0</v>
      </c>
      <c r="DB14" s="45">
        <f t="shared" si="19"/>
        <v>0</v>
      </c>
      <c r="DC14" s="45">
        <f t="shared" si="19"/>
        <v>0</v>
      </c>
      <c r="DD14" s="45">
        <f t="shared" si="19"/>
        <v>0</v>
      </c>
      <c r="DE14" s="45">
        <f t="shared" si="19"/>
        <v>0</v>
      </c>
      <c r="DF14" s="45">
        <f t="shared" si="19"/>
        <v>0</v>
      </c>
      <c r="DG14" s="45">
        <f t="shared" si="19"/>
        <v>0</v>
      </c>
      <c r="DH14" s="45">
        <f t="shared" si="19"/>
        <v>0</v>
      </c>
      <c r="DI14" s="45">
        <f t="shared" si="19"/>
        <v>0</v>
      </c>
      <c r="DJ14" s="45">
        <f t="shared" si="19"/>
        <v>0</v>
      </c>
      <c r="DK14" s="45">
        <f t="shared" si="19"/>
        <v>0</v>
      </c>
    </row>
    <row r="15" spans="1:115" s="13" customFormat="1" ht="23.25" customHeight="1" x14ac:dyDescent="0.3">
      <c r="A15" s="56"/>
      <c r="B15" s="238" t="s">
        <v>13</v>
      </c>
      <c r="C15" s="49" t="str">
        <f>C9</f>
        <v>Output/Day</v>
      </c>
      <c r="D15" s="41"/>
      <c r="E15" s="41"/>
      <c r="F15" s="41"/>
      <c r="G15" s="41"/>
      <c r="H15" s="24">
        <v>120</v>
      </c>
      <c r="I15" s="24">
        <v>164</v>
      </c>
      <c r="J15" s="24">
        <v>173</v>
      </c>
      <c r="K15" s="24">
        <v>111</v>
      </c>
      <c r="L15" s="24">
        <v>330</v>
      </c>
      <c r="M15" s="24">
        <v>150</v>
      </c>
      <c r="N15" s="24">
        <v>359</v>
      </c>
      <c r="O15" s="42"/>
      <c r="P15" s="42"/>
      <c r="Q15" s="41"/>
      <c r="R15" s="41"/>
      <c r="S15" s="41"/>
      <c r="T15" s="41"/>
      <c r="U15" s="41"/>
      <c r="V15" s="42"/>
      <c r="W15" s="41"/>
      <c r="X15" s="42"/>
      <c r="Y15" s="42"/>
      <c r="Z15" s="41"/>
      <c r="AA15" s="41">
        <v>815</v>
      </c>
      <c r="AB15" s="41">
        <v>800</v>
      </c>
      <c r="AC15" s="41">
        <v>800</v>
      </c>
      <c r="AD15" s="41">
        <v>821</v>
      </c>
      <c r="AE15" s="41">
        <v>800</v>
      </c>
      <c r="AF15" s="41">
        <v>772</v>
      </c>
      <c r="AG15" s="41">
        <v>760</v>
      </c>
      <c r="AH15" s="42">
        <v>834</v>
      </c>
      <c r="AI15" s="42">
        <v>878</v>
      </c>
      <c r="AJ15" s="42">
        <v>923</v>
      </c>
      <c r="AK15" s="42">
        <v>880</v>
      </c>
      <c r="AL15" s="42">
        <v>880</v>
      </c>
      <c r="AM15" s="41">
        <v>670</v>
      </c>
      <c r="AN15" s="41">
        <v>811</v>
      </c>
      <c r="AO15" s="41">
        <v>702</v>
      </c>
      <c r="AP15" s="41">
        <v>980</v>
      </c>
      <c r="AQ15" s="41">
        <v>550</v>
      </c>
      <c r="AR15" s="42">
        <v>970</v>
      </c>
      <c r="AS15" s="41">
        <v>935</v>
      </c>
      <c r="AT15" s="42">
        <v>935</v>
      </c>
      <c r="AU15" s="42">
        <v>550</v>
      </c>
      <c r="AV15" s="42">
        <v>968</v>
      </c>
      <c r="AW15" s="42">
        <v>895</v>
      </c>
      <c r="AX15" s="41">
        <v>996</v>
      </c>
      <c r="AY15" s="41">
        <v>1025</v>
      </c>
      <c r="AZ15" s="41">
        <v>1110</v>
      </c>
      <c r="BA15" s="41">
        <v>790</v>
      </c>
      <c r="BB15" s="42">
        <v>1155</v>
      </c>
      <c r="BC15" s="41">
        <v>610</v>
      </c>
      <c r="BD15" s="42">
        <v>52</v>
      </c>
      <c r="BE15" s="88">
        <v>0</v>
      </c>
      <c r="BF15" s="88">
        <v>0</v>
      </c>
      <c r="BG15" s="88">
        <v>0</v>
      </c>
      <c r="BH15" s="41">
        <v>970</v>
      </c>
      <c r="BI15" s="41">
        <v>994</v>
      </c>
      <c r="BJ15" s="41">
        <v>147</v>
      </c>
      <c r="BK15" s="41">
        <v>887</v>
      </c>
      <c r="BL15" s="103">
        <v>1046</v>
      </c>
      <c r="BM15" s="88">
        <v>0</v>
      </c>
      <c r="BN15" s="41">
        <v>561</v>
      </c>
      <c r="BO15" s="88">
        <v>0</v>
      </c>
      <c r="BP15" s="42">
        <v>82</v>
      </c>
      <c r="BQ15" s="42">
        <v>970</v>
      </c>
      <c r="BR15" s="42">
        <v>181</v>
      </c>
      <c r="BS15" s="103">
        <v>1052</v>
      </c>
      <c r="BT15" s="103">
        <v>1065</v>
      </c>
      <c r="BU15" s="41">
        <v>822</v>
      </c>
      <c r="BV15" s="41">
        <v>464</v>
      </c>
      <c r="BW15" s="42">
        <v>145</v>
      </c>
      <c r="BX15" s="41">
        <v>145</v>
      </c>
      <c r="BY15" s="42">
        <v>675</v>
      </c>
      <c r="BZ15" s="42">
        <v>765</v>
      </c>
      <c r="CA15" s="42">
        <v>611</v>
      </c>
      <c r="CB15" s="41">
        <v>600</v>
      </c>
      <c r="CC15" s="41">
        <v>880</v>
      </c>
      <c r="CD15" s="41">
        <v>0</v>
      </c>
      <c r="CE15" s="41">
        <v>1005</v>
      </c>
      <c r="CF15" s="41">
        <v>710</v>
      </c>
      <c r="CG15" s="42">
        <v>1012</v>
      </c>
      <c r="CH15" s="41">
        <v>815</v>
      </c>
      <c r="CI15" s="42">
        <v>775</v>
      </c>
      <c r="CJ15" s="42">
        <v>610</v>
      </c>
      <c r="CK15" s="42">
        <v>919</v>
      </c>
      <c r="CL15" s="42">
        <v>935</v>
      </c>
      <c r="CM15" s="41"/>
      <c r="CN15" s="41"/>
      <c r="CO15" s="41"/>
      <c r="CP15" s="41"/>
      <c r="CQ15" s="42"/>
      <c r="CR15" s="41"/>
      <c r="CS15" s="42"/>
      <c r="CT15" s="88"/>
      <c r="CU15" s="88"/>
      <c r="CV15" s="88"/>
      <c r="CW15" s="41"/>
      <c r="CX15" s="41"/>
      <c r="CY15" s="41"/>
      <c r="CZ15" s="41"/>
      <c r="DA15" s="103"/>
      <c r="DB15" s="88"/>
      <c r="DC15" s="41"/>
      <c r="DD15" s="88"/>
      <c r="DE15" s="42"/>
      <c r="DF15" s="42"/>
      <c r="DG15" s="42"/>
      <c r="DH15" s="103"/>
      <c r="DI15" s="103"/>
      <c r="DJ15" s="41"/>
      <c r="DK15" s="41"/>
    </row>
    <row r="16" spans="1:115" ht="23.25" customHeight="1" x14ac:dyDescent="0.25">
      <c r="A16" s="54"/>
      <c r="B16" s="238"/>
      <c r="C16" s="106" t="s">
        <v>6</v>
      </c>
      <c r="D16" s="50">
        <f>D15/8</f>
        <v>0</v>
      </c>
      <c r="E16" s="50">
        <f>E15/8</f>
        <v>0</v>
      </c>
      <c r="F16" s="50">
        <f>F15/8</f>
        <v>0</v>
      </c>
      <c r="G16" s="50">
        <f>G15/8</f>
        <v>0</v>
      </c>
      <c r="H16" s="50">
        <f t="shared" ref="H16:M16" si="20">H15/8</f>
        <v>15</v>
      </c>
      <c r="I16" s="50">
        <f>+I15/8</f>
        <v>20.5</v>
      </c>
      <c r="J16" s="50">
        <f t="shared" si="20"/>
        <v>21.625</v>
      </c>
      <c r="K16" s="50">
        <f t="shared" si="20"/>
        <v>13.875</v>
      </c>
      <c r="L16" s="50">
        <f t="shared" si="20"/>
        <v>41.25</v>
      </c>
      <c r="M16" s="50">
        <f t="shared" si="20"/>
        <v>18.75</v>
      </c>
      <c r="N16" s="50">
        <f t="shared" ref="N16:Y16" si="21">SUM(N15:N15)/8</f>
        <v>44.875</v>
      </c>
      <c r="O16" s="50">
        <f t="shared" si="21"/>
        <v>0</v>
      </c>
      <c r="P16" s="50">
        <f t="shared" si="21"/>
        <v>0</v>
      </c>
      <c r="Q16" s="50">
        <f t="shared" si="21"/>
        <v>0</v>
      </c>
      <c r="R16" s="50">
        <f t="shared" si="21"/>
        <v>0</v>
      </c>
      <c r="S16" s="50">
        <f t="shared" si="21"/>
        <v>0</v>
      </c>
      <c r="T16" s="50">
        <f t="shared" si="21"/>
        <v>0</v>
      </c>
      <c r="U16" s="50">
        <f t="shared" si="21"/>
        <v>0</v>
      </c>
      <c r="V16" s="50">
        <f t="shared" si="21"/>
        <v>0</v>
      </c>
      <c r="W16" s="50">
        <f t="shared" si="21"/>
        <v>0</v>
      </c>
      <c r="X16" s="50">
        <f t="shared" si="21"/>
        <v>0</v>
      </c>
      <c r="Y16" s="50">
        <f t="shared" si="21"/>
        <v>0</v>
      </c>
      <c r="Z16" s="50">
        <f t="shared" ref="Z16:AE16" si="22">Z15/8</f>
        <v>0</v>
      </c>
      <c r="AA16" s="50">
        <f t="shared" si="22"/>
        <v>101.875</v>
      </c>
      <c r="AB16" s="50">
        <f t="shared" si="22"/>
        <v>100</v>
      </c>
      <c r="AC16" s="50">
        <f t="shared" si="22"/>
        <v>100</v>
      </c>
      <c r="AD16" s="50">
        <f t="shared" si="22"/>
        <v>102.625</v>
      </c>
      <c r="AE16" s="50">
        <f t="shared" si="22"/>
        <v>100</v>
      </c>
      <c r="AF16" s="50">
        <f>+AF15/8</f>
        <v>96.5</v>
      </c>
      <c r="AG16" s="50">
        <f>AG15/8</f>
        <v>95</v>
      </c>
      <c r="AH16" s="50">
        <f>AH15/8</f>
        <v>104.25</v>
      </c>
      <c r="AI16" s="50">
        <f>AI15/8</f>
        <v>109.75</v>
      </c>
      <c r="AJ16" s="50">
        <f>AJ15/8</f>
        <v>115.375</v>
      </c>
      <c r="AK16" s="50">
        <f>AK15/9</f>
        <v>97.777777777777771</v>
      </c>
      <c r="AL16" s="50">
        <f t="shared" ref="AL16:AT16" si="23">AL15/9</f>
        <v>97.777777777777771</v>
      </c>
      <c r="AM16" s="50">
        <f t="shared" si="23"/>
        <v>74.444444444444443</v>
      </c>
      <c r="AN16" s="50">
        <f t="shared" si="23"/>
        <v>90.111111111111114</v>
      </c>
      <c r="AO16" s="50">
        <f t="shared" si="23"/>
        <v>78</v>
      </c>
      <c r="AP16" s="50">
        <f t="shared" si="23"/>
        <v>108.88888888888889</v>
      </c>
      <c r="AQ16" s="50">
        <f>AQ15/5</f>
        <v>110</v>
      </c>
      <c r="AR16" s="50">
        <f t="shared" si="23"/>
        <v>107.77777777777777</v>
      </c>
      <c r="AS16" s="50">
        <f t="shared" si="23"/>
        <v>103.88888888888889</v>
      </c>
      <c r="AT16" s="50">
        <f t="shared" si="23"/>
        <v>103.88888888888889</v>
      </c>
      <c r="AU16" s="50">
        <f>AU15/5</f>
        <v>110</v>
      </c>
      <c r="AV16" s="50">
        <f>AV15/9</f>
        <v>107.55555555555556</v>
      </c>
      <c r="AW16" s="50">
        <f>AW15/9</f>
        <v>99.444444444444443</v>
      </c>
      <c r="AX16" s="50">
        <f>AX15/9</f>
        <v>110.66666666666667</v>
      </c>
      <c r="AY16" s="50">
        <f>AY15/9</f>
        <v>113.88888888888889</v>
      </c>
      <c r="AZ16" s="50">
        <f>AZ15/9</f>
        <v>123.33333333333333</v>
      </c>
      <c r="BA16" s="50">
        <f>BA15/7</f>
        <v>112.85714285714286</v>
      </c>
      <c r="BB16" s="50">
        <f>BB15/9</f>
        <v>128.33333333333334</v>
      </c>
      <c r="BC16" s="50">
        <f>BC15/10</f>
        <v>61</v>
      </c>
      <c r="BD16" s="50">
        <f>BD15/9</f>
        <v>5.7777777777777777</v>
      </c>
      <c r="BE16" s="50">
        <f>BE15/9</f>
        <v>0</v>
      </c>
      <c r="BF16" s="50">
        <f>BF15/9</f>
        <v>0</v>
      </c>
      <c r="BG16" s="50">
        <f t="shared" ref="BG16:BQ16" si="24">BG15/9</f>
        <v>0</v>
      </c>
      <c r="BH16" s="50">
        <f t="shared" si="24"/>
        <v>107.77777777777777</v>
      </c>
      <c r="BI16" s="50">
        <f t="shared" si="24"/>
        <v>110.44444444444444</v>
      </c>
      <c r="BJ16" s="50">
        <f t="shared" si="24"/>
        <v>16.333333333333332</v>
      </c>
      <c r="BK16" s="50">
        <f t="shared" si="24"/>
        <v>98.555555555555557</v>
      </c>
      <c r="BL16" s="50">
        <f>BL15/8</f>
        <v>130.75</v>
      </c>
      <c r="BM16" s="50">
        <f t="shared" si="24"/>
        <v>0</v>
      </c>
      <c r="BN16" s="50">
        <f t="shared" si="24"/>
        <v>62.333333333333336</v>
      </c>
      <c r="BO16" s="50">
        <f t="shared" si="24"/>
        <v>0</v>
      </c>
      <c r="BP16" s="50">
        <f t="shared" si="24"/>
        <v>9.1111111111111107</v>
      </c>
      <c r="BQ16" s="50">
        <f t="shared" si="24"/>
        <v>107.77777777777777</v>
      </c>
      <c r="BR16" s="50">
        <f>BR15/7</f>
        <v>25.857142857142858</v>
      </c>
      <c r="BS16" s="50">
        <f>BS15/12</f>
        <v>87.666666666666671</v>
      </c>
      <c r="BT16" s="50">
        <f t="shared" ref="BT16:BY16" si="25">BT15/11</f>
        <v>96.818181818181813</v>
      </c>
      <c r="BU16" s="50">
        <f t="shared" si="25"/>
        <v>74.727272727272734</v>
      </c>
      <c r="BV16" s="50">
        <f t="shared" si="25"/>
        <v>42.18181818181818</v>
      </c>
      <c r="BW16" s="50">
        <f t="shared" si="25"/>
        <v>13.181818181818182</v>
      </c>
      <c r="BX16" s="50">
        <f t="shared" si="25"/>
        <v>13.181818181818182</v>
      </c>
      <c r="BY16" s="50">
        <f t="shared" si="25"/>
        <v>61.363636363636367</v>
      </c>
      <c r="BZ16" s="50">
        <f>BZ15/12</f>
        <v>63.75</v>
      </c>
      <c r="CA16" s="50">
        <f>CA15/12</f>
        <v>50.916666666666664</v>
      </c>
      <c r="CB16" s="50">
        <f>CB15/10</f>
        <v>60</v>
      </c>
      <c r="CC16" s="50">
        <f t="shared" ref="CC16:DK16" si="26">CC15/12</f>
        <v>73.333333333333329</v>
      </c>
      <c r="CD16" s="50">
        <f t="shared" si="26"/>
        <v>0</v>
      </c>
      <c r="CE16" s="50">
        <f>CE15/11</f>
        <v>91.36363636363636</v>
      </c>
      <c r="CF16" s="50">
        <f>CF15/10</f>
        <v>71</v>
      </c>
      <c r="CG16" s="50">
        <f>CG15/10</f>
        <v>101.2</v>
      </c>
      <c r="CH16" s="50">
        <f>CH15/10</f>
        <v>81.5</v>
      </c>
      <c r="CI16" s="50">
        <f t="shared" ref="CI16:CK16" si="27">CI15/10</f>
        <v>77.5</v>
      </c>
      <c r="CJ16" s="50">
        <f t="shared" si="27"/>
        <v>61</v>
      </c>
      <c r="CK16" s="50">
        <f t="shared" si="27"/>
        <v>91.9</v>
      </c>
      <c r="CL16" s="50">
        <f t="shared" si="26"/>
        <v>77.916666666666671</v>
      </c>
      <c r="CM16" s="50">
        <f t="shared" si="26"/>
        <v>0</v>
      </c>
      <c r="CN16" s="50">
        <f t="shared" si="26"/>
        <v>0</v>
      </c>
      <c r="CO16" s="50">
        <f t="shared" si="26"/>
        <v>0</v>
      </c>
      <c r="CP16" s="50">
        <f t="shared" si="26"/>
        <v>0</v>
      </c>
      <c r="CQ16" s="50">
        <f t="shared" si="26"/>
        <v>0</v>
      </c>
      <c r="CR16" s="50">
        <f t="shared" si="26"/>
        <v>0</v>
      </c>
      <c r="CS16" s="50">
        <f t="shared" si="26"/>
        <v>0</v>
      </c>
      <c r="CT16" s="50">
        <f t="shared" si="26"/>
        <v>0</v>
      </c>
      <c r="CU16" s="50">
        <f t="shared" si="26"/>
        <v>0</v>
      </c>
      <c r="CV16" s="50">
        <f t="shared" si="26"/>
        <v>0</v>
      </c>
      <c r="CW16" s="50">
        <f t="shared" si="26"/>
        <v>0</v>
      </c>
      <c r="CX16" s="50">
        <f t="shared" si="26"/>
        <v>0</v>
      </c>
      <c r="CY16" s="50">
        <f t="shared" si="26"/>
        <v>0</v>
      </c>
      <c r="CZ16" s="50">
        <f t="shared" si="26"/>
        <v>0</v>
      </c>
      <c r="DA16" s="50">
        <f t="shared" si="26"/>
        <v>0</v>
      </c>
      <c r="DB16" s="50">
        <f t="shared" si="26"/>
        <v>0</v>
      </c>
      <c r="DC16" s="50">
        <f t="shared" si="26"/>
        <v>0</v>
      </c>
      <c r="DD16" s="50">
        <f t="shared" si="26"/>
        <v>0</v>
      </c>
      <c r="DE16" s="50">
        <f t="shared" si="26"/>
        <v>0</v>
      </c>
      <c r="DF16" s="50">
        <f t="shared" si="26"/>
        <v>0</v>
      </c>
      <c r="DG16" s="50">
        <f t="shared" si="26"/>
        <v>0</v>
      </c>
      <c r="DH16" s="50">
        <f t="shared" si="26"/>
        <v>0</v>
      </c>
      <c r="DI16" s="50">
        <f t="shared" si="26"/>
        <v>0</v>
      </c>
      <c r="DJ16" s="50">
        <f t="shared" si="26"/>
        <v>0</v>
      </c>
      <c r="DK16" s="50">
        <f t="shared" si="26"/>
        <v>0</v>
      </c>
    </row>
    <row r="17" spans="1:115" ht="16.5" x14ac:dyDescent="0.25">
      <c r="A17" s="54"/>
      <c r="B17" s="263" t="s">
        <v>7</v>
      </c>
      <c r="C17" s="263"/>
      <c r="D17" s="51">
        <v>12</v>
      </c>
      <c r="E17" s="51">
        <v>12</v>
      </c>
      <c r="F17" s="51">
        <v>12</v>
      </c>
      <c r="G17" s="51">
        <v>12</v>
      </c>
      <c r="H17" s="51">
        <v>12</v>
      </c>
      <c r="I17" s="51">
        <v>24</v>
      </c>
      <c r="J17" s="51">
        <v>24</v>
      </c>
      <c r="K17" s="51">
        <v>24</v>
      </c>
      <c r="L17" s="51">
        <v>24</v>
      </c>
      <c r="M17" s="51">
        <v>24</v>
      </c>
      <c r="N17" s="51">
        <v>48</v>
      </c>
      <c r="O17" s="51">
        <v>48</v>
      </c>
      <c r="P17" s="51">
        <v>48</v>
      </c>
      <c r="Q17" s="51">
        <v>48</v>
      </c>
      <c r="R17" s="51">
        <v>48</v>
      </c>
      <c r="S17" s="51">
        <v>60</v>
      </c>
      <c r="T17" s="51">
        <v>60</v>
      </c>
      <c r="U17" s="51">
        <v>60</v>
      </c>
      <c r="V17" s="51">
        <v>60</v>
      </c>
      <c r="W17" s="51">
        <v>60</v>
      </c>
      <c r="X17" s="51">
        <v>72</v>
      </c>
      <c r="Y17" s="51">
        <v>72</v>
      </c>
      <c r="Z17" s="51">
        <v>72</v>
      </c>
      <c r="AA17" s="51">
        <v>72</v>
      </c>
      <c r="AB17" s="51">
        <v>72</v>
      </c>
      <c r="AC17" s="51">
        <v>96</v>
      </c>
      <c r="AD17" s="51">
        <v>96</v>
      </c>
      <c r="AE17" s="51">
        <v>96</v>
      </c>
      <c r="AF17" s="51">
        <v>96</v>
      </c>
      <c r="AG17" s="51">
        <v>96</v>
      </c>
      <c r="AH17" s="51">
        <v>108</v>
      </c>
      <c r="AI17" s="51">
        <v>108</v>
      </c>
      <c r="AJ17" s="51">
        <v>108</v>
      </c>
      <c r="AK17" s="51">
        <v>108</v>
      </c>
      <c r="AL17" s="51">
        <v>108</v>
      </c>
      <c r="AM17" s="51">
        <v>120</v>
      </c>
      <c r="AN17" s="51">
        <v>120</v>
      </c>
      <c r="AO17" s="51">
        <v>120</v>
      </c>
      <c r="AP17" s="51">
        <v>120</v>
      </c>
      <c r="AQ17" s="51">
        <v>120</v>
      </c>
      <c r="AR17" s="51">
        <v>120</v>
      </c>
      <c r="AS17" s="51">
        <v>120</v>
      </c>
      <c r="AT17" s="51">
        <v>120</v>
      </c>
      <c r="AU17" s="51">
        <v>120</v>
      </c>
      <c r="AV17" s="51">
        <v>120</v>
      </c>
      <c r="AW17" s="51">
        <v>120</v>
      </c>
      <c r="AX17" s="51">
        <v>120</v>
      </c>
      <c r="AY17" s="51">
        <v>120</v>
      </c>
      <c r="AZ17" s="51">
        <v>120</v>
      </c>
      <c r="BA17" s="51">
        <v>120</v>
      </c>
      <c r="BB17" s="51">
        <v>120</v>
      </c>
      <c r="BC17" s="51">
        <v>120</v>
      </c>
      <c r="BD17" s="51">
        <v>120</v>
      </c>
      <c r="BE17" s="51">
        <v>120</v>
      </c>
      <c r="BF17" s="51">
        <v>120</v>
      </c>
      <c r="BG17" s="51">
        <v>120</v>
      </c>
      <c r="BH17" s="51">
        <v>120</v>
      </c>
      <c r="BI17" s="51">
        <v>120</v>
      </c>
      <c r="BJ17" s="51">
        <v>120</v>
      </c>
      <c r="BK17" s="51">
        <v>120</v>
      </c>
      <c r="BL17" s="51">
        <v>120</v>
      </c>
      <c r="BM17" s="51">
        <v>120</v>
      </c>
      <c r="BN17" s="51">
        <v>120</v>
      </c>
      <c r="BO17" s="51">
        <v>120</v>
      </c>
      <c r="BP17" s="51">
        <v>120</v>
      </c>
      <c r="BQ17" s="51">
        <v>120</v>
      </c>
      <c r="BR17" s="51">
        <v>120</v>
      </c>
      <c r="BS17" s="51">
        <v>120</v>
      </c>
      <c r="BT17" s="51">
        <v>120</v>
      </c>
      <c r="BU17" s="51">
        <v>120</v>
      </c>
      <c r="BV17" s="51">
        <v>120</v>
      </c>
      <c r="BW17" s="51">
        <v>120</v>
      </c>
      <c r="BX17" s="51">
        <v>120</v>
      </c>
      <c r="BY17" s="51">
        <v>120</v>
      </c>
      <c r="BZ17" s="51">
        <v>120</v>
      </c>
      <c r="CA17" s="51">
        <v>120</v>
      </c>
      <c r="CB17" s="51">
        <v>120</v>
      </c>
      <c r="CC17" s="51">
        <v>120</v>
      </c>
      <c r="CD17" s="51">
        <v>120</v>
      </c>
      <c r="CE17" s="51">
        <v>120</v>
      </c>
      <c r="CF17" s="51">
        <v>120</v>
      </c>
      <c r="CG17" s="51">
        <v>120</v>
      </c>
      <c r="CH17" s="51">
        <v>120</v>
      </c>
      <c r="CI17" s="51">
        <v>120</v>
      </c>
      <c r="CJ17" s="51">
        <v>120</v>
      </c>
      <c r="CK17" s="51">
        <v>120</v>
      </c>
      <c r="CL17" s="51">
        <v>120</v>
      </c>
      <c r="CM17" s="51">
        <v>120</v>
      </c>
      <c r="CN17" s="51">
        <v>120</v>
      </c>
      <c r="CO17" s="51">
        <v>120</v>
      </c>
      <c r="CP17" s="51">
        <v>120</v>
      </c>
      <c r="CQ17" s="51">
        <v>120</v>
      </c>
      <c r="CR17" s="51">
        <v>120</v>
      </c>
      <c r="CS17" s="51">
        <v>120</v>
      </c>
      <c r="CT17" s="51">
        <v>120</v>
      </c>
      <c r="CU17" s="51">
        <v>120</v>
      </c>
      <c r="CV17" s="51">
        <v>120</v>
      </c>
      <c r="CW17" s="51">
        <v>120</v>
      </c>
      <c r="CX17" s="51">
        <v>120</v>
      </c>
      <c r="CY17" s="51">
        <v>120</v>
      </c>
      <c r="CZ17" s="51">
        <v>120</v>
      </c>
      <c r="DA17" s="51">
        <v>120</v>
      </c>
      <c r="DB17" s="51">
        <v>120</v>
      </c>
      <c r="DC17" s="51">
        <v>120</v>
      </c>
      <c r="DD17" s="51">
        <v>120</v>
      </c>
      <c r="DE17" s="51">
        <v>120</v>
      </c>
      <c r="DF17" s="51">
        <v>120</v>
      </c>
      <c r="DG17" s="51">
        <v>120</v>
      </c>
      <c r="DH17" s="51">
        <v>120</v>
      </c>
      <c r="DI17" s="51">
        <v>120</v>
      </c>
      <c r="DJ17" s="51">
        <v>120</v>
      </c>
      <c r="DK17" s="51">
        <v>120</v>
      </c>
    </row>
    <row r="18" spans="1:115" ht="16.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</row>
    <row r="19" spans="1:115" ht="16.5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</row>
    <row r="20" spans="1:115" ht="16.5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</row>
    <row r="21" spans="1:115" ht="16.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</row>
    <row r="22" spans="1:115" ht="16.5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</row>
    <row r="23" spans="1:115" ht="16.5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</row>
    <row r="24" spans="1:115" ht="16.5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</row>
    <row r="25" spans="1:115" ht="16.5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</row>
    <row r="26" spans="1:115" ht="16.5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</row>
    <row r="27" spans="1:115" ht="16.5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</row>
    <row r="28" spans="1:115" ht="16.5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</row>
    <row r="29" spans="1:115" x14ac:dyDescent="0.25">
      <c r="BT29" t="s">
        <v>15</v>
      </c>
      <c r="DI29" t="s">
        <v>15</v>
      </c>
    </row>
    <row r="30" spans="1:115" ht="16.5" hidden="1" customHeight="1" x14ac:dyDescent="0.25"/>
    <row r="31" spans="1:115" ht="16.5" hidden="1" customHeight="1" x14ac:dyDescent="0.25"/>
    <row r="32" spans="1:115" ht="16.5" hidden="1" customHeight="1" x14ac:dyDescent="0.25"/>
    <row r="33" ht="16.5" hidden="1" customHeight="1" x14ac:dyDescent="0.25"/>
    <row r="34" ht="16.5" hidden="1" customHeight="1" x14ac:dyDescent="0.25"/>
    <row r="35" ht="16.5" hidden="1" customHeight="1" x14ac:dyDescent="0.25"/>
    <row r="36" ht="16.5" hidden="1" customHeight="1" x14ac:dyDescent="0.25"/>
    <row r="37" ht="16.5" hidden="1" customHeight="1" x14ac:dyDescent="0.25"/>
    <row r="38" ht="16.5" hidden="1" customHeight="1" x14ac:dyDescent="0.25"/>
    <row r="39" ht="16.5" hidden="1" customHeight="1" x14ac:dyDescent="0.25"/>
    <row r="40" ht="16.5" hidden="1" customHeight="1" x14ac:dyDescent="0.25"/>
    <row r="41" ht="16.5" hidden="1" customHeight="1" x14ac:dyDescent="0.25"/>
    <row r="42" ht="16.5" hidden="1" customHeight="1" x14ac:dyDescent="0.25"/>
    <row r="45" ht="15" hidden="1" customHeight="1" x14ac:dyDescent="0.25"/>
    <row r="46" ht="15" hidden="1" customHeight="1" x14ac:dyDescent="0.25"/>
    <row r="47" ht="15" hidden="1" customHeight="1" x14ac:dyDescent="0.25"/>
    <row r="48" ht="15" hidden="1" customHeight="1" x14ac:dyDescent="0.25"/>
    <row r="49" ht="15" hidden="1" customHeight="1" x14ac:dyDescent="0.25"/>
    <row r="50" ht="15" hidden="1" customHeight="1" x14ac:dyDescent="0.25"/>
    <row r="51" ht="15" hidden="1" customHeight="1" x14ac:dyDescent="0.25"/>
    <row r="52" ht="15" hidden="1" customHeight="1" x14ac:dyDescent="0.25"/>
    <row r="53" ht="15" hidden="1" customHeight="1" x14ac:dyDescent="0.25"/>
    <row r="54" ht="15" hidden="1" customHeight="1" x14ac:dyDescent="0.25"/>
    <row r="55" ht="15" hidden="1" customHeight="1" x14ac:dyDescent="0.25"/>
    <row r="56" ht="15" hidden="1" customHeight="1" x14ac:dyDescent="0.25"/>
    <row r="57" ht="15" hidden="1" customHeight="1" x14ac:dyDescent="0.25"/>
    <row r="58" ht="15" hidden="1" customHeight="1" x14ac:dyDescent="0.25"/>
    <row r="59" ht="15" hidden="1" customHeight="1" x14ac:dyDescent="0.25"/>
    <row r="60" ht="15" hidden="1" customHeight="1" x14ac:dyDescent="0.25"/>
  </sheetData>
  <mergeCells count="10">
    <mergeCell ref="AK6:DK6"/>
    <mergeCell ref="B1:Y2"/>
    <mergeCell ref="B4:C4"/>
    <mergeCell ref="B13:B14"/>
    <mergeCell ref="B17:C17"/>
    <mergeCell ref="B15:B16"/>
    <mergeCell ref="B6:B8"/>
    <mergeCell ref="C6:C8"/>
    <mergeCell ref="B9:B10"/>
    <mergeCell ref="B11:B12"/>
  </mergeCells>
  <conditionalFormatting sqref="D15:Y15 AV15:BE15 AX11:BD11 AY9:BD9 AX13:BD13">
    <cfRule type="containsBlanks" dxfId="550" priority="80">
      <formula>LEN(TRIM(D9))=0</formula>
    </cfRule>
  </conditionalFormatting>
  <conditionalFormatting sqref="Y11 D11:J11 L11:P11">
    <cfRule type="containsBlanks" dxfId="549" priority="79">
      <formula>LEN(TRIM(D11))=0</formula>
    </cfRule>
  </conditionalFormatting>
  <conditionalFormatting sqref="D9:J9 Y9 L9:P9">
    <cfRule type="containsBlanks" dxfId="548" priority="77">
      <formula>LEN(TRIM(D9))=0</formula>
    </cfRule>
  </conditionalFormatting>
  <conditionalFormatting sqref="Q11:X11">
    <cfRule type="containsBlanks" dxfId="547" priority="74">
      <formula>LEN(TRIM(Q11))=0</formula>
    </cfRule>
  </conditionalFormatting>
  <conditionalFormatting sqref="R9:X9">
    <cfRule type="containsBlanks" dxfId="546" priority="72">
      <formula>LEN(TRIM(R9))=0</formula>
    </cfRule>
  </conditionalFormatting>
  <conditionalFormatting sqref="Q9">
    <cfRule type="containsBlanks" dxfId="545" priority="71">
      <formula>LEN(TRIM(Q9))=0</formula>
    </cfRule>
  </conditionalFormatting>
  <conditionalFormatting sqref="Y13 D13:J13 L13:P13">
    <cfRule type="containsBlanks" dxfId="544" priority="69">
      <formula>LEN(TRIM(D13))=0</formula>
    </cfRule>
  </conditionalFormatting>
  <conditionalFormatting sqref="Q13:X13">
    <cfRule type="containsBlanks" dxfId="543" priority="67">
      <formula>LEN(TRIM(Q13))=0</formula>
    </cfRule>
  </conditionalFormatting>
  <conditionalFormatting sqref="K9">
    <cfRule type="containsBlanks" dxfId="542" priority="63">
      <formula>LEN(TRIM(K9))=0</formula>
    </cfRule>
  </conditionalFormatting>
  <conditionalFormatting sqref="K11">
    <cfRule type="containsBlanks" dxfId="541" priority="61">
      <formula>LEN(TRIM(K11))=0</formula>
    </cfRule>
  </conditionalFormatting>
  <conditionalFormatting sqref="K13">
    <cfRule type="containsBlanks" dxfId="540" priority="59">
      <formula>LEN(TRIM(K13))=0</formula>
    </cfRule>
  </conditionalFormatting>
  <conditionalFormatting sqref="Z15:AU15">
    <cfRule type="containsBlanks" dxfId="539" priority="58">
      <formula>LEN(TRIM(Z15))=0</formula>
    </cfRule>
  </conditionalFormatting>
  <conditionalFormatting sqref="AU11 AH11:AL11 Z11:AF11">
    <cfRule type="containsBlanks" dxfId="538" priority="57">
      <formula>LEN(TRIM(Z11))=0</formula>
    </cfRule>
  </conditionalFormatting>
  <conditionalFormatting sqref="AU9 AH9:AL9 Z9:AF9">
    <cfRule type="containsBlanks" dxfId="537" priority="56">
      <formula>LEN(TRIM(Z9))=0</formula>
    </cfRule>
  </conditionalFormatting>
  <conditionalFormatting sqref="AM11:AT11">
    <cfRule type="containsBlanks" dxfId="536" priority="55">
      <formula>LEN(TRIM(AM11))=0</formula>
    </cfRule>
  </conditionalFormatting>
  <conditionalFormatting sqref="AN9:AT9">
    <cfRule type="containsBlanks" dxfId="535" priority="54">
      <formula>LEN(TRIM(AN9))=0</formula>
    </cfRule>
  </conditionalFormatting>
  <conditionalFormatting sqref="AM9">
    <cfRule type="containsBlanks" dxfId="534" priority="53">
      <formula>LEN(TRIM(AM9))=0</formula>
    </cfRule>
  </conditionalFormatting>
  <conditionalFormatting sqref="AU13 AH13:AL13 Z13:AF13">
    <cfRule type="containsBlanks" dxfId="533" priority="52">
      <formula>LEN(TRIM(Z13))=0</formula>
    </cfRule>
  </conditionalFormatting>
  <conditionalFormatting sqref="AM13:AT13">
    <cfRule type="containsBlanks" dxfId="532" priority="51">
      <formula>LEN(TRIM(AM13))=0</formula>
    </cfRule>
  </conditionalFormatting>
  <conditionalFormatting sqref="AG9">
    <cfRule type="containsBlanks" dxfId="531" priority="50">
      <formula>LEN(TRIM(AG9))=0</formula>
    </cfRule>
  </conditionalFormatting>
  <conditionalFormatting sqref="AG11">
    <cfRule type="containsBlanks" dxfId="530" priority="49">
      <formula>LEN(TRIM(AG11))=0</formula>
    </cfRule>
  </conditionalFormatting>
  <conditionalFormatting sqref="AG13">
    <cfRule type="containsBlanks" dxfId="529" priority="48">
      <formula>LEN(TRIM(AG13))=0</formula>
    </cfRule>
  </conditionalFormatting>
  <conditionalFormatting sqref="BE11 AV11:AW11">
    <cfRule type="containsBlanks" dxfId="528" priority="46">
      <formula>LEN(TRIM(AV11))=0</formula>
    </cfRule>
  </conditionalFormatting>
  <conditionalFormatting sqref="BE9 AV9:AW9">
    <cfRule type="containsBlanks" dxfId="527" priority="45">
      <formula>LEN(TRIM(AV9))=0</formula>
    </cfRule>
  </conditionalFormatting>
  <conditionalFormatting sqref="AX9">
    <cfRule type="containsBlanks" dxfId="526" priority="42">
      <formula>LEN(TRIM(AX9))=0</formula>
    </cfRule>
  </conditionalFormatting>
  <conditionalFormatting sqref="BE13 AV13:AW13">
    <cfRule type="containsBlanks" dxfId="525" priority="41">
      <formula>LEN(TRIM(AV13))=0</formula>
    </cfRule>
  </conditionalFormatting>
  <conditionalFormatting sqref="BQ15:BY15 BS11:BY11 BT9:BY9 BS13:BY13">
    <cfRule type="containsBlanks" dxfId="524" priority="39">
      <formula>LEN(TRIM(BQ9))=0</formula>
    </cfRule>
  </conditionalFormatting>
  <conditionalFormatting sqref="BF15:BP15">
    <cfRule type="containsBlanks" dxfId="523" priority="38">
      <formula>LEN(TRIM(BF15))=0</formula>
    </cfRule>
  </conditionalFormatting>
  <conditionalFormatting sqref="BP11 BF11:BG11">
    <cfRule type="containsBlanks" dxfId="522" priority="37">
      <formula>LEN(TRIM(BF11))=0</formula>
    </cfRule>
  </conditionalFormatting>
  <conditionalFormatting sqref="BP9 BF9:BG9">
    <cfRule type="containsBlanks" dxfId="521" priority="36">
      <formula>LEN(TRIM(BF9))=0</formula>
    </cfRule>
  </conditionalFormatting>
  <conditionalFormatting sqref="BH11:BO11">
    <cfRule type="containsBlanks" dxfId="520" priority="35">
      <formula>LEN(TRIM(BH11))=0</formula>
    </cfRule>
  </conditionalFormatting>
  <conditionalFormatting sqref="BI9:BO9">
    <cfRule type="containsBlanks" dxfId="519" priority="34">
      <formula>LEN(TRIM(BI9))=0</formula>
    </cfRule>
  </conditionalFormatting>
  <conditionalFormatting sqref="BH9">
    <cfRule type="containsBlanks" dxfId="518" priority="33">
      <formula>LEN(TRIM(BH9))=0</formula>
    </cfRule>
  </conditionalFormatting>
  <conditionalFormatting sqref="BP13 BF13:BG13">
    <cfRule type="containsBlanks" dxfId="517" priority="32">
      <formula>LEN(TRIM(BF13))=0</formula>
    </cfRule>
  </conditionalFormatting>
  <conditionalFormatting sqref="BH13:BO13">
    <cfRule type="containsBlanks" dxfId="516" priority="31">
      <formula>LEN(TRIM(BH13))=0</formula>
    </cfRule>
  </conditionalFormatting>
  <conditionalFormatting sqref="BQ11:BR11">
    <cfRule type="containsBlanks" dxfId="515" priority="30">
      <formula>LEN(TRIM(BQ11))=0</formula>
    </cfRule>
  </conditionalFormatting>
  <conditionalFormatting sqref="BQ9:BR9">
    <cfRule type="containsBlanks" dxfId="514" priority="29">
      <formula>LEN(TRIM(BQ9))=0</formula>
    </cfRule>
  </conditionalFormatting>
  <conditionalFormatting sqref="BS9">
    <cfRule type="containsBlanks" dxfId="513" priority="28">
      <formula>LEN(TRIM(BS9))=0</formula>
    </cfRule>
  </conditionalFormatting>
  <conditionalFormatting sqref="BQ13:BR13">
    <cfRule type="containsBlanks" dxfId="512" priority="27">
      <formula>LEN(TRIM(BQ13))=0</formula>
    </cfRule>
  </conditionalFormatting>
  <conditionalFormatting sqref="CK15:CT15 CM11:CS11 CN9:CS9 CM13:CS13">
    <cfRule type="containsBlanks" dxfId="511" priority="26">
      <formula>LEN(TRIM(CK9))=0</formula>
    </cfRule>
  </conditionalFormatting>
  <conditionalFormatting sqref="BZ15:CJ15">
    <cfRule type="containsBlanks" dxfId="510" priority="25">
      <formula>LEN(TRIM(BZ15))=0</formula>
    </cfRule>
  </conditionalFormatting>
  <conditionalFormatting sqref="CJ11 BZ11:CA11">
    <cfRule type="containsBlanks" dxfId="509" priority="24">
      <formula>LEN(TRIM(BZ11))=0</formula>
    </cfRule>
  </conditionalFormatting>
  <conditionalFormatting sqref="CJ9 BZ9:CA9">
    <cfRule type="containsBlanks" dxfId="508" priority="23">
      <formula>LEN(TRIM(BZ9))=0</formula>
    </cfRule>
  </conditionalFormatting>
  <conditionalFormatting sqref="CB11:CI11">
    <cfRule type="containsBlanks" dxfId="507" priority="22">
      <formula>LEN(TRIM(CB11))=0</formula>
    </cfRule>
  </conditionalFormatting>
  <conditionalFormatting sqref="CC9:CI9">
    <cfRule type="containsBlanks" dxfId="506" priority="21">
      <formula>LEN(TRIM(CC9))=0</formula>
    </cfRule>
  </conditionalFormatting>
  <conditionalFormatting sqref="CB9">
    <cfRule type="containsBlanks" dxfId="505" priority="20">
      <formula>LEN(TRIM(CB9))=0</formula>
    </cfRule>
  </conditionalFormatting>
  <conditionalFormatting sqref="CJ13 BZ13:CA13">
    <cfRule type="containsBlanks" dxfId="504" priority="19">
      <formula>LEN(TRIM(BZ13))=0</formula>
    </cfRule>
  </conditionalFormatting>
  <conditionalFormatting sqref="CB13:CI13">
    <cfRule type="containsBlanks" dxfId="503" priority="18">
      <formula>LEN(TRIM(CB13))=0</formula>
    </cfRule>
  </conditionalFormatting>
  <conditionalFormatting sqref="CT11 CK11:CL11">
    <cfRule type="containsBlanks" dxfId="502" priority="17">
      <formula>LEN(TRIM(CK11))=0</formula>
    </cfRule>
  </conditionalFormatting>
  <conditionalFormatting sqref="CT9 CK9:CL9">
    <cfRule type="containsBlanks" dxfId="501" priority="16">
      <formula>LEN(TRIM(CK9))=0</formula>
    </cfRule>
  </conditionalFormatting>
  <conditionalFormatting sqref="CM9">
    <cfRule type="containsBlanks" dxfId="500" priority="15">
      <formula>LEN(TRIM(CM9))=0</formula>
    </cfRule>
  </conditionalFormatting>
  <conditionalFormatting sqref="CT13 CK13:CL13">
    <cfRule type="containsBlanks" dxfId="499" priority="14">
      <formula>LEN(TRIM(CK13))=0</formula>
    </cfRule>
  </conditionalFormatting>
  <conditionalFormatting sqref="DF15:DK15 DH11:DK11 DI9:DK9 DH13:DK13">
    <cfRule type="containsBlanks" dxfId="498" priority="13">
      <formula>LEN(TRIM(DF9))=0</formula>
    </cfRule>
  </conditionalFormatting>
  <conditionalFormatting sqref="CU15:DE15">
    <cfRule type="containsBlanks" dxfId="497" priority="12">
      <formula>LEN(TRIM(CU15))=0</formula>
    </cfRule>
  </conditionalFormatting>
  <conditionalFormatting sqref="DE11 CU11:CV11">
    <cfRule type="containsBlanks" dxfId="496" priority="11">
      <formula>LEN(TRIM(CU11))=0</formula>
    </cfRule>
  </conditionalFormatting>
  <conditionalFormatting sqref="DE9 CU9:CV9">
    <cfRule type="containsBlanks" dxfId="495" priority="10">
      <formula>LEN(TRIM(CU9))=0</formula>
    </cfRule>
  </conditionalFormatting>
  <conditionalFormatting sqref="CW11:DD11">
    <cfRule type="containsBlanks" dxfId="494" priority="9">
      <formula>LEN(TRIM(CW11))=0</formula>
    </cfRule>
  </conditionalFormatting>
  <conditionalFormatting sqref="CX9:DD9">
    <cfRule type="containsBlanks" dxfId="493" priority="8">
      <formula>LEN(TRIM(CX9))=0</formula>
    </cfRule>
  </conditionalFormatting>
  <conditionalFormatting sqref="CW9">
    <cfRule type="containsBlanks" dxfId="492" priority="7">
      <formula>LEN(TRIM(CW9))=0</formula>
    </cfRule>
  </conditionalFormatting>
  <conditionalFormatting sqref="DE13 CU13:CV13">
    <cfRule type="containsBlanks" dxfId="491" priority="6">
      <formula>LEN(TRIM(CU13))=0</formula>
    </cfRule>
  </conditionalFormatting>
  <conditionalFormatting sqref="CW13:DD13">
    <cfRule type="containsBlanks" dxfId="490" priority="5">
      <formula>LEN(TRIM(CW13))=0</formula>
    </cfRule>
  </conditionalFormatting>
  <conditionalFormatting sqref="DF11:DG11">
    <cfRule type="containsBlanks" dxfId="489" priority="4">
      <formula>LEN(TRIM(DF11))=0</formula>
    </cfRule>
  </conditionalFormatting>
  <conditionalFormatting sqref="DF9:DG9">
    <cfRule type="containsBlanks" dxfId="488" priority="3">
      <formula>LEN(TRIM(DF9))=0</formula>
    </cfRule>
  </conditionalFormatting>
  <conditionalFormatting sqref="DH9">
    <cfRule type="containsBlanks" dxfId="487" priority="2">
      <formula>LEN(TRIM(DH9))=0</formula>
    </cfRule>
  </conditionalFormatting>
  <conditionalFormatting sqref="DF13:DG13">
    <cfRule type="containsBlanks" dxfId="486" priority="1">
      <formula>LEN(TRIM(DF13))=0</formula>
    </cfRule>
  </conditionalFormatting>
  <printOptions horizontalCentered="1" verticalCentered="1"/>
  <pageMargins left="0.2" right="0" top="0" bottom="0" header="0" footer="0"/>
  <pageSetup paperSize="9" scale="64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X60"/>
  <sheetViews>
    <sheetView showGridLines="0" topLeftCell="BN1" zoomScale="70" zoomScaleNormal="70" workbookViewId="0">
      <selection activeCell="DB27" sqref="DB27"/>
    </sheetView>
  </sheetViews>
  <sheetFormatPr defaultRowHeight="15" x14ac:dyDescent="0.25"/>
  <cols>
    <col min="1" max="1" width="4" customWidth="1"/>
    <col min="2" max="2" width="26" customWidth="1"/>
    <col min="3" max="4" width="7.5703125" hidden="1" customWidth="1"/>
    <col min="5" max="5" width="27.28515625" customWidth="1"/>
    <col min="6" max="6" width="6.7109375" hidden="1" customWidth="1"/>
    <col min="7" max="7" width="7.7109375" hidden="1" customWidth="1"/>
    <col min="8" max="23" width="6.7109375" hidden="1" customWidth="1"/>
    <col min="24" max="24" width="7.7109375" hidden="1" customWidth="1"/>
    <col min="25" max="65" width="6.7109375" hidden="1" customWidth="1"/>
    <col min="66" max="67" width="6.7109375" customWidth="1"/>
    <col min="68" max="68" width="7.7109375" customWidth="1"/>
    <col min="69" max="102" width="6.7109375" customWidth="1"/>
  </cols>
  <sheetData>
    <row r="1" spans="2:102" ht="16.5" customHeight="1" x14ac:dyDescent="0.3"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1"/>
    </row>
    <row r="2" spans="2:102" ht="40.5" customHeight="1" x14ac:dyDescent="0.3"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1"/>
    </row>
    <row r="3" spans="2:102" ht="21" customHeight="1" x14ac:dyDescent="0.3">
      <c r="B3" s="16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2"/>
      <c r="X3" s="22"/>
      <c r="Y3" s="22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</row>
    <row r="4" spans="2:102" s="2" customFormat="1" ht="18" x14ac:dyDescent="0.2">
      <c r="B4" s="301" t="s">
        <v>18</v>
      </c>
      <c r="C4" s="301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 t="s">
        <v>26</v>
      </c>
      <c r="AC4" s="33"/>
      <c r="AD4" s="33"/>
      <c r="AE4" s="33"/>
      <c r="AF4" s="33"/>
      <c r="AG4" s="33"/>
      <c r="AH4" s="33"/>
      <c r="AI4" s="33"/>
      <c r="AJ4" s="33"/>
      <c r="AQ4" s="33"/>
      <c r="AS4" s="2" t="s">
        <v>34</v>
      </c>
      <c r="AW4" s="33"/>
      <c r="AX4" s="33"/>
      <c r="AY4" s="33"/>
      <c r="BA4" s="33"/>
      <c r="BB4" s="33"/>
      <c r="BC4" s="33"/>
      <c r="BD4" s="33"/>
      <c r="BE4" s="33"/>
      <c r="BK4" s="33" t="s">
        <v>21</v>
      </c>
      <c r="BL4" s="33"/>
      <c r="BP4" s="33"/>
      <c r="BQ4" s="33"/>
      <c r="BR4" s="33"/>
      <c r="BS4" s="33"/>
      <c r="BT4" s="33"/>
      <c r="BU4" s="33"/>
      <c r="BV4" s="33"/>
      <c r="BW4" s="33"/>
      <c r="BX4" s="33"/>
      <c r="CE4" s="33"/>
      <c r="CK4" s="33"/>
      <c r="CL4" s="33"/>
      <c r="CM4" s="33"/>
      <c r="CO4" s="33"/>
      <c r="CP4" s="33"/>
      <c r="CQ4" s="33"/>
      <c r="CR4" s="33"/>
      <c r="CS4" s="33"/>
      <c r="CV4" s="2" t="s">
        <v>34</v>
      </c>
    </row>
    <row r="5" spans="2:102" ht="3" customHeigh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</row>
    <row r="6" spans="2:102" s="2" customFormat="1" ht="23.25" customHeight="1" x14ac:dyDescent="0.2">
      <c r="B6" s="241" t="s">
        <v>0</v>
      </c>
      <c r="C6" s="241" t="s">
        <v>1</v>
      </c>
      <c r="D6" s="241"/>
      <c r="E6" s="241" t="s">
        <v>2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265" t="s">
        <v>16</v>
      </c>
      <c r="AC6" s="265"/>
      <c r="AD6" s="265"/>
      <c r="AE6" s="265"/>
      <c r="AF6" s="265"/>
      <c r="AG6" s="265"/>
      <c r="AH6" s="265"/>
      <c r="AI6" s="265"/>
      <c r="AJ6" s="265"/>
      <c r="AK6" s="265"/>
      <c r="AL6" s="265"/>
      <c r="AM6" s="265"/>
      <c r="AN6" s="265"/>
      <c r="AO6" s="265"/>
      <c r="AP6" s="265"/>
      <c r="AQ6" s="265"/>
      <c r="AR6" s="265"/>
      <c r="AS6" s="265"/>
      <c r="AT6" s="265"/>
      <c r="AU6" s="265"/>
      <c r="AV6" s="265"/>
      <c r="AW6" s="265"/>
      <c r="AX6" s="265"/>
      <c r="AY6" s="265"/>
      <c r="AZ6" s="265"/>
      <c r="BA6" s="265"/>
      <c r="BB6" s="265"/>
      <c r="BC6" s="265"/>
      <c r="BD6" s="265"/>
      <c r="BE6" s="265"/>
      <c r="BF6" s="265"/>
      <c r="BG6" s="265"/>
      <c r="BH6" s="265"/>
      <c r="BI6" s="265"/>
      <c r="BJ6" s="265"/>
      <c r="BK6" s="265"/>
      <c r="BL6" s="265"/>
      <c r="BM6" s="265"/>
      <c r="BN6" s="265"/>
      <c r="BO6" s="265"/>
      <c r="BP6" s="265"/>
      <c r="BQ6" s="265"/>
      <c r="BR6" s="265"/>
      <c r="BS6" s="265"/>
      <c r="BT6" s="265"/>
      <c r="BU6" s="265"/>
      <c r="BV6" s="265"/>
      <c r="BW6" s="265"/>
      <c r="BX6" s="265"/>
      <c r="BY6" s="265"/>
      <c r="BZ6" s="265"/>
      <c r="CA6" s="265"/>
      <c r="CB6" s="265"/>
      <c r="CC6" s="265"/>
      <c r="CD6" s="265"/>
      <c r="CE6" s="265"/>
      <c r="CF6" s="265"/>
      <c r="CG6" s="265"/>
      <c r="CH6" s="265"/>
      <c r="CI6" s="265"/>
      <c r="CJ6" s="265"/>
      <c r="CK6" s="265"/>
      <c r="CL6" s="265"/>
      <c r="CM6" s="265"/>
      <c r="CN6" s="265"/>
      <c r="CO6" s="265"/>
      <c r="CP6" s="265"/>
      <c r="CQ6" s="265"/>
      <c r="CR6" s="265"/>
      <c r="CS6" s="265"/>
      <c r="CT6" s="265"/>
      <c r="CU6" s="265"/>
      <c r="CV6" s="265"/>
      <c r="CW6" s="265"/>
      <c r="CX6" s="265"/>
    </row>
    <row r="7" spans="2:102" s="2" customFormat="1" ht="23.25" customHeight="1" x14ac:dyDescent="0.2">
      <c r="B7" s="241"/>
      <c r="C7" s="241"/>
      <c r="D7" s="241"/>
      <c r="E7" s="241"/>
      <c r="F7" s="38">
        <v>1</v>
      </c>
      <c r="G7" s="38">
        <v>2</v>
      </c>
      <c r="H7" s="38">
        <v>3</v>
      </c>
      <c r="I7" s="38">
        <v>4</v>
      </c>
      <c r="J7" s="38">
        <v>5</v>
      </c>
      <c r="K7" s="38">
        <v>6</v>
      </c>
      <c r="L7" s="38">
        <f>1+K7</f>
        <v>7</v>
      </c>
      <c r="M7" s="38">
        <f>1+L7</f>
        <v>8</v>
      </c>
      <c r="N7" s="38">
        <f t="shared" ref="N7:V7" si="0">1+M7</f>
        <v>9</v>
      </c>
      <c r="O7" s="38">
        <f t="shared" si="0"/>
        <v>10</v>
      </c>
      <c r="P7" s="38">
        <f t="shared" si="0"/>
        <v>11</v>
      </c>
      <c r="Q7" s="38">
        <f t="shared" si="0"/>
        <v>12</v>
      </c>
      <c r="R7" s="38">
        <f>1+Q7</f>
        <v>13</v>
      </c>
      <c r="S7" s="38">
        <f t="shared" si="0"/>
        <v>14</v>
      </c>
      <c r="T7" s="38">
        <f t="shared" si="0"/>
        <v>15</v>
      </c>
      <c r="U7" s="38">
        <f t="shared" si="0"/>
        <v>16</v>
      </c>
      <c r="V7" s="38">
        <f t="shared" si="0"/>
        <v>17</v>
      </c>
      <c r="W7" s="38">
        <f t="shared" ref="W7:AV7" si="1">1+V7</f>
        <v>18</v>
      </c>
      <c r="X7" s="38">
        <f t="shared" si="1"/>
        <v>19</v>
      </c>
      <c r="Y7" s="38">
        <f t="shared" si="1"/>
        <v>20</v>
      </c>
      <c r="Z7" s="38">
        <f t="shared" si="1"/>
        <v>21</v>
      </c>
      <c r="AA7" s="38">
        <f t="shared" si="1"/>
        <v>22</v>
      </c>
      <c r="AB7" s="38">
        <f t="shared" si="1"/>
        <v>23</v>
      </c>
      <c r="AC7" s="38">
        <f t="shared" si="1"/>
        <v>24</v>
      </c>
      <c r="AD7" s="38">
        <f t="shared" si="1"/>
        <v>25</v>
      </c>
      <c r="AE7" s="38">
        <f t="shared" si="1"/>
        <v>26</v>
      </c>
      <c r="AF7" s="38">
        <f t="shared" si="1"/>
        <v>27</v>
      </c>
      <c r="AG7" s="38">
        <f t="shared" si="1"/>
        <v>28</v>
      </c>
      <c r="AH7" s="38">
        <f t="shared" si="1"/>
        <v>29</v>
      </c>
      <c r="AI7" s="38">
        <f t="shared" si="1"/>
        <v>30</v>
      </c>
      <c r="AJ7" s="38">
        <f t="shared" si="1"/>
        <v>31</v>
      </c>
      <c r="AK7" s="38">
        <f t="shared" si="1"/>
        <v>32</v>
      </c>
      <c r="AL7" s="38">
        <f t="shared" si="1"/>
        <v>33</v>
      </c>
      <c r="AM7" s="38">
        <f t="shared" si="1"/>
        <v>34</v>
      </c>
      <c r="AN7" s="38">
        <f t="shared" si="1"/>
        <v>35</v>
      </c>
      <c r="AO7" s="38">
        <f t="shared" si="1"/>
        <v>36</v>
      </c>
      <c r="AP7" s="38">
        <f t="shared" si="1"/>
        <v>37</v>
      </c>
      <c r="AQ7" s="38">
        <f t="shared" si="1"/>
        <v>38</v>
      </c>
      <c r="AR7" s="38">
        <f t="shared" si="1"/>
        <v>39</v>
      </c>
      <c r="AS7" s="38">
        <f t="shared" si="1"/>
        <v>40</v>
      </c>
      <c r="AT7" s="38">
        <f t="shared" si="1"/>
        <v>41</v>
      </c>
      <c r="AU7" s="38">
        <f t="shared" si="1"/>
        <v>42</v>
      </c>
      <c r="AV7" s="38">
        <f t="shared" si="1"/>
        <v>43</v>
      </c>
      <c r="AW7" s="38">
        <f t="shared" ref="AW7:BO7" si="2">1+AV7</f>
        <v>44</v>
      </c>
      <c r="AX7" s="38">
        <f t="shared" si="2"/>
        <v>45</v>
      </c>
      <c r="AY7" s="38">
        <f t="shared" si="2"/>
        <v>46</v>
      </c>
      <c r="AZ7" s="38">
        <f t="shared" si="2"/>
        <v>47</v>
      </c>
      <c r="BA7" s="38">
        <f t="shared" si="2"/>
        <v>48</v>
      </c>
      <c r="BB7" s="38">
        <f t="shared" si="2"/>
        <v>49</v>
      </c>
      <c r="BC7" s="38">
        <f t="shared" si="2"/>
        <v>50</v>
      </c>
      <c r="BD7" s="38">
        <f t="shared" si="2"/>
        <v>51</v>
      </c>
      <c r="BE7" s="38">
        <f t="shared" si="2"/>
        <v>52</v>
      </c>
      <c r="BF7" s="38">
        <f t="shared" si="2"/>
        <v>53</v>
      </c>
      <c r="BG7" s="38">
        <f t="shared" si="2"/>
        <v>54</v>
      </c>
      <c r="BH7" s="38">
        <f t="shared" si="2"/>
        <v>55</v>
      </c>
      <c r="BI7" s="38">
        <f t="shared" si="2"/>
        <v>56</v>
      </c>
      <c r="BJ7" s="38">
        <f t="shared" si="2"/>
        <v>57</v>
      </c>
      <c r="BK7" s="38">
        <f t="shared" si="2"/>
        <v>58</v>
      </c>
      <c r="BL7" s="38">
        <f t="shared" si="2"/>
        <v>59</v>
      </c>
      <c r="BM7" s="38">
        <f t="shared" si="2"/>
        <v>60</v>
      </c>
      <c r="BN7" s="38">
        <f t="shared" si="2"/>
        <v>61</v>
      </c>
      <c r="BO7" s="38">
        <f t="shared" si="2"/>
        <v>62</v>
      </c>
      <c r="BP7" s="38">
        <f t="shared" ref="BP7:CX7" si="3">1+BO7</f>
        <v>63</v>
      </c>
      <c r="BQ7" s="38">
        <f t="shared" si="3"/>
        <v>64</v>
      </c>
      <c r="BR7" s="38">
        <f t="shared" si="3"/>
        <v>65</v>
      </c>
      <c r="BS7" s="38">
        <f t="shared" si="3"/>
        <v>66</v>
      </c>
      <c r="BT7" s="38">
        <f t="shared" si="3"/>
        <v>67</v>
      </c>
      <c r="BU7" s="38">
        <f t="shared" si="3"/>
        <v>68</v>
      </c>
      <c r="BV7" s="38">
        <f t="shared" si="3"/>
        <v>69</v>
      </c>
      <c r="BW7" s="38">
        <f t="shared" si="3"/>
        <v>70</v>
      </c>
      <c r="BX7" s="38">
        <f t="shared" si="3"/>
        <v>71</v>
      </c>
      <c r="BY7" s="38">
        <f t="shared" si="3"/>
        <v>72</v>
      </c>
      <c r="BZ7" s="38">
        <f t="shared" si="3"/>
        <v>73</v>
      </c>
      <c r="CA7" s="38">
        <f t="shared" si="3"/>
        <v>74</v>
      </c>
      <c r="CB7" s="38">
        <f t="shared" si="3"/>
        <v>75</v>
      </c>
      <c r="CC7" s="38">
        <f t="shared" si="3"/>
        <v>76</v>
      </c>
      <c r="CD7" s="38">
        <f t="shared" si="3"/>
        <v>77</v>
      </c>
      <c r="CE7" s="38">
        <f t="shared" si="3"/>
        <v>78</v>
      </c>
      <c r="CF7" s="38">
        <f t="shared" si="3"/>
        <v>79</v>
      </c>
      <c r="CG7" s="38">
        <f t="shared" si="3"/>
        <v>80</v>
      </c>
      <c r="CH7" s="38">
        <f t="shared" si="3"/>
        <v>81</v>
      </c>
      <c r="CI7" s="38">
        <f t="shared" si="3"/>
        <v>82</v>
      </c>
      <c r="CJ7" s="38">
        <f t="shared" si="3"/>
        <v>83</v>
      </c>
      <c r="CK7" s="38">
        <f t="shared" si="3"/>
        <v>84</v>
      </c>
      <c r="CL7" s="38">
        <f t="shared" si="3"/>
        <v>85</v>
      </c>
      <c r="CM7" s="38">
        <f t="shared" si="3"/>
        <v>86</v>
      </c>
      <c r="CN7" s="38">
        <f t="shared" si="3"/>
        <v>87</v>
      </c>
      <c r="CO7" s="38">
        <f t="shared" si="3"/>
        <v>88</v>
      </c>
      <c r="CP7" s="38">
        <f t="shared" si="3"/>
        <v>89</v>
      </c>
      <c r="CQ7" s="38">
        <f t="shared" si="3"/>
        <v>90</v>
      </c>
      <c r="CR7" s="38">
        <f t="shared" si="3"/>
        <v>91</v>
      </c>
      <c r="CS7" s="38">
        <f t="shared" si="3"/>
        <v>92</v>
      </c>
      <c r="CT7" s="38">
        <f t="shared" si="3"/>
        <v>93</v>
      </c>
      <c r="CU7" s="38">
        <f t="shared" si="3"/>
        <v>94</v>
      </c>
      <c r="CV7" s="38">
        <f t="shared" si="3"/>
        <v>95</v>
      </c>
      <c r="CW7" s="38">
        <f t="shared" si="3"/>
        <v>96</v>
      </c>
      <c r="CX7" s="38">
        <f t="shared" si="3"/>
        <v>97</v>
      </c>
    </row>
    <row r="8" spans="2:102" s="2" customFormat="1" ht="23.25" customHeight="1" x14ac:dyDescent="0.2">
      <c r="B8" s="241"/>
      <c r="C8" s="105" t="s">
        <v>4</v>
      </c>
      <c r="D8" s="105" t="s">
        <v>5</v>
      </c>
      <c r="E8" s="241"/>
      <c r="F8" s="39">
        <v>46030</v>
      </c>
      <c r="G8" s="39">
        <v>46031</v>
      </c>
      <c r="H8" s="39">
        <v>46034</v>
      </c>
      <c r="I8" s="39">
        <v>46035</v>
      </c>
      <c r="J8" s="39">
        <v>46036</v>
      </c>
      <c r="K8" s="39">
        <v>46037</v>
      </c>
      <c r="L8" s="39">
        <v>46039</v>
      </c>
      <c r="M8" s="39">
        <v>46041</v>
      </c>
      <c r="N8" s="39">
        <v>46042</v>
      </c>
      <c r="O8" s="39">
        <v>46043</v>
      </c>
      <c r="P8" s="39">
        <v>46044</v>
      </c>
      <c r="Q8" s="39">
        <v>46045</v>
      </c>
      <c r="R8" s="39">
        <v>46048</v>
      </c>
      <c r="S8" s="39">
        <v>46049</v>
      </c>
      <c r="T8" s="39">
        <v>46050</v>
      </c>
      <c r="U8" s="39">
        <v>46051</v>
      </c>
      <c r="V8" s="39">
        <v>46052</v>
      </c>
      <c r="W8" s="39">
        <v>46055</v>
      </c>
      <c r="X8" s="39">
        <v>46056</v>
      </c>
      <c r="Y8" s="39">
        <v>46057</v>
      </c>
      <c r="Z8" s="39">
        <v>46058</v>
      </c>
      <c r="AA8" s="39">
        <v>46059</v>
      </c>
      <c r="AB8" s="39">
        <v>46062</v>
      </c>
      <c r="AC8" s="39">
        <v>46063</v>
      </c>
      <c r="AD8" s="39">
        <v>46064</v>
      </c>
      <c r="AE8" s="39">
        <v>46065</v>
      </c>
      <c r="AF8" s="39">
        <v>46066</v>
      </c>
      <c r="AG8" s="39">
        <v>46069</v>
      </c>
      <c r="AH8" s="39">
        <v>46070</v>
      </c>
      <c r="AI8" s="39">
        <v>46071</v>
      </c>
      <c r="AJ8" s="39">
        <v>46072</v>
      </c>
      <c r="AK8" s="39">
        <v>46073</v>
      </c>
      <c r="AL8" s="39">
        <v>46074</v>
      </c>
      <c r="AM8" s="39">
        <v>46076</v>
      </c>
      <c r="AN8" s="39">
        <v>46077</v>
      </c>
      <c r="AO8" s="39">
        <v>46078</v>
      </c>
      <c r="AP8" s="39">
        <v>46079</v>
      </c>
      <c r="AQ8" s="39">
        <v>46080</v>
      </c>
      <c r="AR8" s="39">
        <v>46081</v>
      </c>
      <c r="AS8" s="39">
        <v>46083</v>
      </c>
      <c r="AT8" s="39">
        <v>46084</v>
      </c>
      <c r="AU8" s="39">
        <v>46085</v>
      </c>
      <c r="AV8" s="39">
        <v>46086</v>
      </c>
      <c r="AW8" s="39">
        <v>46087</v>
      </c>
      <c r="AX8" s="39">
        <v>46090</v>
      </c>
      <c r="AY8" s="39">
        <v>46091</v>
      </c>
      <c r="AZ8" s="39">
        <v>46092</v>
      </c>
      <c r="BA8" s="39">
        <v>46093</v>
      </c>
      <c r="BB8" s="39">
        <v>46094</v>
      </c>
      <c r="BC8" s="39">
        <v>46097</v>
      </c>
      <c r="BD8" s="39">
        <v>46098</v>
      </c>
      <c r="BE8" s="39">
        <v>46099</v>
      </c>
      <c r="BF8" s="39">
        <v>46106</v>
      </c>
      <c r="BG8" s="39">
        <v>46107</v>
      </c>
      <c r="BH8" s="39">
        <v>46108</v>
      </c>
      <c r="BI8" s="39">
        <v>46109</v>
      </c>
      <c r="BJ8" s="39">
        <v>46111</v>
      </c>
      <c r="BK8" s="39">
        <v>46112</v>
      </c>
      <c r="BL8" s="39">
        <v>46113</v>
      </c>
      <c r="BM8" s="39">
        <v>46114</v>
      </c>
      <c r="BN8" s="39">
        <v>46115</v>
      </c>
      <c r="BO8" s="39">
        <v>46116</v>
      </c>
      <c r="BP8" s="39">
        <v>46118</v>
      </c>
      <c r="BQ8" s="39">
        <v>46119</v>
      </c>
      <c r="BR8" s="39">
        <v>46120</v>
      </c>
      <c r="BS8" s="39">
        <v>46121</v>
      </c>
      <c r="BT8" s="39">
        <v>46122</v>
      </c>
      <c r="BU8" s="39">
        <v>46123</v>
      </c>
      <c r="BV8" s="39">
        <v>46125</v>
      </c>
      <c r="BW8" s="39">
        <v>46126</v>
      </c>
      <c r="BX8" s="39">
        <v>46127</v>
      </c>
      <c r="BY8" s="39">
        <v>46128</v>
      </c>
      <c r="BZ8" s="39">
        <v>46129</v>
      </c>
      <c r="CA8" s="39">
        <v>46130</v>
      </c>
      <c r="CB8" s="39">
        <v>46132</v>
      </c>
      <c r="CC8" s="39">
        <v>46133</v>
      </c>
      <c r="CD8" s="39">
        <v>46134</v>
      </c>
      <c r="CE8" s="39">
        <v>46135</v>
      </c>
      <c r="CF8" s="39">
        <v>46136</v>
      </c>
      <c r="CG8" s="39">
        <v>46137</v>
      </c>
      <c r="CH8" s="39">
        <v>46138</v>
      </c>
      <c r="CI8" s="39">
        <v>46139</v>
      </c>
      <c r="CJ8" s="39">
        <v>46140</v>
      </c>
      <c r="CK8" s="39">
        <v>46141</v>
      </c>
      <c r="CL8" s="39">
        <v>46142</v>
      </c>
      <c r="CM8" s="39">
        <v>46143</v>
      </c>
      <c r="CN8" s="39">
        <v>46144</v>
      </c>
      <c r="CO8" s="39">
        <v>46145</v>
      </c>
      <c r="CP8" s="39">
        <v>46146</v>
      </c>
      <c r="CQ8" s="39">
        <v>46147</v>
      </c>
      <c r="CR8" s="39">
        <v>46148</v>
      </c>
      <c r="CS8" s="39">
        <v>46149</v>
      </c>
      <c r="CT8" s="39">
        <v>46150</v>
      </c>
      <c r="CU8" s="39">
        <v>46151</v>
      </c>
      <c r="CV8" s="39">
        <v>46152</v>
      </c>
      <c r="CW8" s="39">
        <v>46153</v>
      </c>
      <c r="CX8" s="39">
        <v>46154</v>
      </c>
    </row>
    <row r="9" spans="2:102" ht="23.25" customHeight="1" x14ac:dyDescent="0.25">
      <c r="B9" s="262" t="s">
        <v>12</v>
      </c>
      <c r="C9" s="262"/>
      <c r="D9" s="262"/>
      <c r="E9" s="106" t="s">
        <v>10</v>
      </c>
      <c r="F9" s="57"/>
      <c r="G9" s="58"/>
      <c r="H9" s="58"/>
      <c r="I9" s="60"/>
      <c r="J9" s="58"/>
      <c r="K9" s="58"/>
      <c r="L9" s="60"/>
      <c r="M9" s="60"/>
      <c r="N9" s="24">
        <v>714</v>
      </c>
      <c r="O9" s="24">
        <v>816</v>
      </c>
      <c r="P9" s="24">
        <v>780</v>
      </c>
      <c r="Q9" s="58">
        <v>0</v>
      </c>
      <c r="R9" s="59">
        <v>0</v>
      </c>
      <c r="S9" s="58">
        <v>0</v>
      </c>
      <c r="T9" s="24">
        <v>408</v>
      </c>
      <c r="U9" s="24">
        <v>600</v>
      </c>
      <c r="V9" s="59">
        <v>0</v>
      </c>
      <c r="W9" s="57">
        <v>516</v>
      </c>
      <c r="X9" s="58">
        <v>246</v>
      </c>
      <c r="Y9" s="58">
        <v>264</v>
      </c>
      <c r="Z9" s="59">
        <v>0</v>
      </c>
      <c r="AA9" s="58">
        <v>600</v>
      </c>
      <c r="AB9" s="58">
        <v>192</v>
      </c>
      <c r="AC9" s="60">
        <v>982</v>
      </c>
      <c r="AD9" s="60">
        <v>1030</v>
      </c>
      <c r="AE9" s="60">
        <v>882</v>
      </c>
      <c r="AF9" s="60">
        <v>936</v>
      </c>
      <c r="AG9" s="58">
        <v>888</v>
      </c>
      <c r="AH9" s="58">
        <v>546</v>
      </c>
      <c r="AI9" s="60">
        <v>960</v>
      </c>
      <c r="AJ9" s="58">
        <v>816</v>
      </c>
      <c r="AK9" s="60">
        <v>960</v>
      </c>
      <c r="AL9" s="60">
        <v>600</v>
      </c>
      <c r="AM9" s="58">
        <v>960</v>
      </c>
      <c r="AN9" s="60">
        <v>744</v>
      </c>
      <c r="AO9" s="60">
        <v>864</v>
      </c>
      <c r="AP9" s="60">
        <v>504</v>
      </c>
      <c r="AQ9" s="60">
        <v>864</v>
      </c>
      <c r="AR9" s="58">
        <v>600</v>
      </c>
      <c r="AS9" s="60">
        <v>960</v>
      </c>
      <c r="AT9" s="58">
        <v>708</v>
      </c>
      <c r="AU9" s="60">
        <v>540</v>
      </c>
      <c r="AV9" s="60">
        <v>462</v>
      </c>
      <c r="AW9" s="58">
        <v>222</v>
      </c>
      <c r="AX9" s="59">
        <v>0</v>
      </c>
      <c r="AY9" s="59">
        <v>0</v>
      </c>
      <c r="AZ9" s="60">
        <v>584</v>
      </c>
      <c r="BA9" s="60">
        <v>936</v>
      </c>
      <c r="BB9" s="58">
        <v>1210</v>
      </c>
      <c r="BC9" s="58">
        <v>864</v>
      </c>
      <c r="BD9" s="60">
        <v>504</v>
      </c>
      <c r="BE9" s="58">
        <v>504</v>
      </c>
      <c r="BF9" s="60">
        <v>504</v>
      </c>
      <c r="BG9" s="60">
        <v>850</v>
      </c>
      <c r="BH9" s="58">
        <v>794</v>
      </c>
      <c r="BI9" s="60">
        <v>1290</v>
      </c>
      <c r="BJ9" s="60">
        <v>1002</v>
      </c>
      <c r="BK9" s="60">
        <v>868</v>
      </c>
      <c r="BL9" s="60">
        <v>840</v>
      </c>
      <c r="BM9" s="58">
        <v>996</v>
      </c>
      <c r="BN9" s="60">
        <v>1218</v>
      </c>
      <c r="BO9" s="58">
        <v>1110</v>
      </c>
      <c r="BP9" s="58">
        <v>1346</v>
      </c>
      <c r="BQ9" s="60">
        <v>1368</v>
      </c>
      <c r="BR9" s="60">
        <v>1134</v>
      </c>
      <c r="BS9" s="60">
        <v>1182</v>
      </c>
      <c r="BT9" s="60">
        <v>1164</v>
      </c>
      <c r="BU9" s="58">
        <v>834</v>
      </c>
      <c r="BV9" s="58">
        <v>954</v>
      </c>
      <c r="BW9" s="60">
        <v>990</v>
      </c>
      <c r="BX9" s="58">
        <v>1212</v>
      </c>
      <c r="BY9" s="60">
        <v>1200</v>
      </c>
      <c r="BZ9" s="60">
        <v>1068</v>
      </c>
      <c r="CA9" s="58">
        <v>1612</v>
      </c>
      <c r="CB9" s="60">
        <v>2058</v>
      </c>
      <c r="CC9" s="60">
        <v>2292</v>
      </c>
      <c r="CD9" s="60"/>
      <c r="CE9" s="60"/>
      <c r="CF9" s="58"/>
      <c r="CG9" s="60"/>
      <c r="CH9" s="58"/>
      <c r="CI9" s="60"/>
      <c r="CJ9" s="60"/>
      <c r="CK9" s="58"/>
      <c r="CL9" s="59"/>
      <c r="CM9" s="59"/>
      <c r="CN9" s="60"/>
      <c r="CO9" s="60"/>
      <c r="CP9" s="58"/>
      <c r="CQ9" s="58"/>
      <c r="CR9" s="60"/>
      <c r="CS9" s="58"/>
      <c r="CT9" s="60"/>
      <c r="CU9" s="60"/>
      <c r="CV9" s="58"/>
      <c r="CW9" s="60"/>
      <c r="CX9" s="60"/>
    </row>
    <row r="10" spans="2:102" ht="23.25" customHeight="1" x14ac:dyDescent="0.25">
      <c r="B10" s="262"/>
      <c r="C10" s="262"/>
      <c r="D10" s="262"/>
      <c r="E10" s="106" t="s">
        <v>6</v>
      </c>
      <c r="F10" s="50"/>
      <c r="G10" s="50">
        <f>SUM(G9:G9)/8</f>
        <v>0</v>
      </c>
      <c r="H10" s="50">
        <f>H9/8</f>
        <v>0</v>
      </c>
      <c r="I10" s="50">
        <f>I9/8</f>
        <v>0</v>
      </c>
      <c r="J10" s="50">
        <f>J9/8</f>
        <v>0</v>
      </c>
      <c r="K10" s="50">
        <f>K9/8</f>
        <v>0</v>
      </c>
      <c r="L10" s="50">
        <f>SUM(L9:L9)/8</f>
        <v>0</v>
      </c>
      <c r="M10" s="50">
        <f t="shared" ref="M10:S10" si="4">M9/8</f>
        <v>0</v>
      </c>
      <c r="N10" s="66">
        <f t="shared" si="4"/>
        <v>89.25</v>
      </c>
      <c r="O10" s="66">
        <f t="shared" si="4"/>
        <v>102</v>
      </c>
      <c r="P10" s="66">
        <f t="shared" si="4"/>
        <v>97.5</v>
      </c>
      <c r="Q10" s="66">
        <f t="shared" si="4"/>
        <v>0</v>
      </c>
      <c r="R10" s="66">
        <f t="shared" si="4"/>
        <v>0</v>
      </c>
      <c r="S10" s="66">
        <f t="shared" si="4"/>
        <v>0</v>
      </c>
      <c r="T10" s="66">
        <f>T9/10</f>
        <v>40.799999999999997</v>
      </c>
      <c r="U10" s="66">
        <f>U9/8</f>
        <v>75</v>
      </c>
      <c r="V10" s="66">
        <f>SUM(V9:V9)/8</f>
        <v>0</v>
      </c>
      <c r="W10" s="66">
        <f>+W9/8</f>
        <v>64.5</v>
      </c>
      <c r="X10" s="50">
        <f>+X9/8</f>
        <v>30.75</v>
      </c>
      <c r="Y10" s="50">
        <f>+Y9/8</f>
        <v>33</v>
      </c>
      <c r="Z10" s="50">
        <f>Z9/8</f>
        <v>0</v>
      </c>
      <c r="AA10" s="50">
        <f>AA9/8</f>
        <v>75</v>
      </c>
      <c r="AB10" s="50">
        <f>AB9/8</f>
        <v>24</v>
      </c>
      <c r="AC10" s="50">
        <f>AC9/9</f>
        <v>109.11111111111111</v>
      </c>
      <c r="AD10" s="50">
        <f>AD9/9</f>
        <v>114.44444444444444</v>
      </c>
      <c r="AE10" s="50">
        <f>AE9/9</f>
        <v>98</v>
      </c>
      <c r="AF10" s="50">
        <f>AF9/9</f>
        <v>104</v>
      </c>
      <c r="AG10" s="50">
        <f>AG9/9</f>
        <v>98.666666666666671</v>
      </c>
      <c r="AH10" s="50">
        <f>AH9/5</f>
        <v>109.2</v>
      </c>
      <c r="AI10" s="50">
        <f>AI9/9</f>
        <v>106.66666666666667</v>
      </c>
      <c r="AJ10" s="50">
        <f>AJ9/9</f>
        <v>90.666666666666671</v>
      </c>
      <c r="AK10" s="50">
        <f>AK9/9</f>
        <v>106.66666666666667</v>
      </c>
      <c r="AL10" s="50">
        <f>AL9/7</f>
        <v>85.714285714285708</v>
      </c>
      <c r="AM10" s="50">
        <f>AM9/9</f>
        <v>106.66666666666667</v>
      </c>
      <c r="AN10" s="50">
        <f>AN9/9</f>
        <v>82.666666666666671</v>
      </c>
      <c r="AO10" s="50">
        <f>AO9/9</f>
        <v>96</v>
      </c>
      <c r="AP10" s="50">
        <f>AP9/8</f>
        <v>63</v>
      </c>
      <c r="AQ10" s="50">
        <f>AQ9/9</f>
        <v>96</v>
      </c>
      <c r="AR10" s="50">
        <f>AR9/5</f>
        <v>120</v>
      </c>
      <c r="AS10" s="50">
        <f>AS9/9</f>
        <v>106.66666666666667</v>
      </c>
      <c r="AT10" s="50">
        <f>AT9/8</f>
        <v>88.5</v>
      </c>
      <c r="AU10" s="50">
        <f>AU9/8</f>
        <v>67.5</v>
      </c>
      <c r="AV10" s="50">
        <f>AV9/8</f>
        <v>57.75</v>
      </c>
      <c r="AW10" s="50">
        <f>AW9/8</f>
        <v>27.75</v>
      </c>
      <c r="AX10" s="50">
        <f>AX9/8</f>
        <v>0</v>
      </c>
      <c r="AY10" s="50">
        <f>AY9/9</f>
        <v>0</v>
      </c>
      <c r="AZ10" s="50">
        <f>AZ9/9</f>
        <v>64.888888888888886</v>
      </c>
      <c r="BA10" s="50">
        <f>BA9/8</f>
        <v>117</v>
      </c>
      <c r="BB10" s="50">
        <f>BB9/8</f>
        <v>151.25</v>
      </c>
      <c r="BC10" s="50">
        <f t="shared" ref="BC10:BH10" si="5">BC9/8</f>
        <v>108</v>
      </c>
      <c r="BD10" s="50">
        <f t="shared" si="5"/>
        <v>63</v>
      </c>
      <c r="BE10" s="50">
        <f t="shared" si="5"/>
        <v>63</v>
      </c>
      <c r="BF10" s="50">
        <f t="shared" si="5"/>
        <v>63</v>
      </c>
      <c r="BG10" s="50">
        <f t="shared" si="5"/>
        <v>106.25</v>
      </c>
      <c r="BH10" s="50">
        <f t="shared" si="5"/>
        <v>99.25</v>
      </c>
      <c r="BI10" s="50">
        <f>BI9/7</f>
        <v>184.28571428571428</v>
      </c>
      <c r="BJ10" s="50">
        <f t="shared" ref="BJ10:BP10" si="6">BJ9/10</f>
        <v>100.2</v>
      </c>
      <c r="BK10" s="50">
        <f t="shared" si="6"/>
        <v>86.8</v>
      </c>
      <c r="BL10" s="50">
        <f t="shared" si="6"/>
        <v>84</v>
      </c>
      <c r="BM10" s="50">
        <f t="shared" si="6"/>
        <v>99.6</v>
      </c>
      <c r="BN10" s="50">
        <f t="shared" si="6"/>
        <v>121.8</v>
      </c>
      <c r="BO10" s="50">
        <f t="shared" si="6"/>
        <v>111</v>
      </c>
      <c r="BP10" s="50">
        <f t="shared" si="6"/>
        <v>134.6</v>
      </c>
      <c r="BQ10" s="50">
        <f>BQ9/12</f>
        <v>114</v>
      </c>
      <c r="BR10" s="50">
        <f t="shared" ref="BR10:CW10" si="7">BR9/12</f>
        <v>94.5</v>
      </c>
      <c r="BS10" s="50">
        <f>BS9/12</f>
        <v>98.5</v>
      </c>
      <c r="BT10" s="50">
        <f t="shared" si="7"/>
        <v>97</v>
      </c>
      <c r="BU10" s="50">
        <f>BU9/8</f>
        <v>104.25</v>
      </c>
      <c r="BV10" s="50">
        <f>BV9/11</f>
        <v>86.727272727272734</v>
      </c>
      <c r="BW10" s="50">
        <f>BW9/11</f>
        <v>90</v>
      </c>
      <c r="BX10" s="100">
        <f>BX9/11</f>
        <v>110.18181818181819</v>
      </c>
      <c r="BY10" s="50">
        <f>BY9/11</f>
        <v>109.09090909090909</v>
      </c>
      <c r="BZ10" s="50">
        <f t="shared" si="7"/>
        <v>89</v>
      </c>
      <c r="CA10" s="50">
        <f t="shared" si="7"/>
        <v>134.33333333333334</v>
      </c>
      <c r="CB10" s="50">
        <f t="shared" si="7"/>
        <v>171.5</v>
      </c>
      <c r="CC10" s="50">
        <f t="shared" si="7"/>
        <v>191</v>
      </c>
      <c r="CD10" s="50">
        <f t="shared" si="7"/>
        <v>0</v>
      </c>
      <c r="CE10" s="50">
        <f t="shared" si="7"/>
        <v>0</v>
      </c>
      <c r="CF10" s="50">
        <f t="shared" si="7"/>
        <v>0</v>
      </c>
      <c r="CG10" s="50">
        <f t="shared" si="7"/>
        <v>0</v>
      </c>
      <c r="CH10" s="50">
        <f t="shared" si="7"/>
        <v>0</v>
      </c>
      <c r="CI10" s="50">
        <f t="shared" si="7"/>
        <v>0</v>
      </c>
      <c r="CJ10" s="50">
        <f t="shared" si="7"/>
        <v>0</v>
      </c>
      <c r="CK10" s="50">
        <f t="shared" si="7"/>
        <v>0</v>
      </c>
      <c r="CL10" s="50">
        <f t="shared" si="7"/>
        <v>0</v>
      </c>
      <c r="CM10" s="50">
        <f t="shared" si="7"/>
        <v>0</v>
      </c>
      <c r="CN10" s="50">
        <f t="shared" si="7"/>
        <v>0</v>
      </c>
      <c r="CO10" s="50">
        <f t="shared" si="7"/>
        <v>0</v>
      </c>
      <c r="CP10" s="50">
        <f t="shared" si="7"/>
        <v>0</v>
      </c>
      <c r="CQ10" s="50">
        <f t="shared" si="7"/>
        <v>0</v>
      </c>
      <c r="CR10" s="50">
        <f t="shared" si="7"/>
        <v>0</v>
      </c>
      <c r="CS10" s="50">
        <f t="shared" si="7"/>
        <v>0</v>
      </c>
      <c r="CT10" s="50">
        <f t="shared" si="7"/>
        <v>0</v>
      </c>
      <c r="CU10" s="50">
        <f t="shared" si="7"/>
        <v>0</v>
      </c>
      <c r="CV10" s="50">
        <f t="shared" si="7"/>
        <v>0</v>
      </c>
      <c r="CW10" s="50">
        <f t="shared" si="7"/>
        <v>0</v>
      </c>
      <c r="CX10" s="50">
        <f>CX9/10</f>
        <v>0</v>
      </c>
    </row>
    <row r="11" spans="2:102" s="12" customFormat="1" ht="23.25" customHeight="1" x14ac:dyDescent="0.25">
      <c r="B11" s="238" t="s">
        <v>9</v>
      </c>
      <c r="C11" s="262"/>
      <c r="D11" s="262"/>
      <c r="E11" s="106" t="str">
        <f>E9</f>
        <v>Output/Day</v>
      </c>
      <c r="F11" s="61"/>
      <c r="G11" s="61"/>
      <c r="H11" s="61"/>
      <c r="I11" s="108"/>
      <c r="J11" s="108"/>
      <c r="K11" s="108"/>
      <c r="L11" s="51"/>
      <c r="M11" s="48"/>
      <c r="N11" s="24">
        <v>294</v>
      </c>
      <c r="O11" s="24">
        <v>276</v>
      </c>
      <c r="P11" s="24">
        <v>298</v>
      </c>
      <c r="Q11" s="24">
        <v>282</v>
      </c>
      <c r="R11" s="24">
        <v>468</v>
      </c>
      <c r="S11" s="24">
        <v>306</v>
      </c>
      <c r="T11" s="24">
        <v>330</v>
      </c>
      <c r="U11" s="24">
        <v>384</v>
      </c>
      <c r="V11" s="24">
        <v>330</v>
      </c>
      <c r="W11" s="61">
        <v>270</v>
      </c>
      <c r="X11" s="61">
        <v>315</v>
      </c>
      <c r="Y11" s="61">
        <v>468</v>
      </c>
      <c r="Z11" s="108">
        <v>462</v>
      </c>
      <c r="AA11" s="108">
        <v>498</v>
      </c>
      <c r="AB11" s="108">
        <v>462</v>
      </c>
      <c r="AC11" s="108">
        <v>318</v>
      </c>
      <c r="AD11" s="48">
        <v>386</v>
      </c>
      <c r="AE11" s="48">
        <v>409</v>
      </c>
      <c r="AF11" s="61">
        <v>410</v>
      </c>
      <c r="AG11" s="61">
        <v>504</v>
      </c>
      <c r="AH11" s="61">
        <v>492</v>
      </c>
      <c r="AI11" s="108">
        <v>612</v>
      </c>
      <c r="AJ11" s="61">
        <v>713</v>
      </c>
      <c r="AK11" s="108">
        <v>558</v>
      </c>
      <c r="AL11" s="51">
        <v>496</v>
      </c>
      <c r="AM11" s="108">
        <v>694</v>
      </c>
      <c r="AN11" s="108">
        <v>786</v>
      </c>
      <c r="AO11" s="48">
        <v>312</v>
      </c>
      <c r="AP11" s="48">
        <v>764</v>
      </c>
      <c r="AQ11" s="61">
        <v>709</v>
      </c>
      <c r="AR11" s="61">
        <v>575</v>
      </c>
      <c r="AS11" s="108">
        <v>502</v>
      </c>
      <c r="AT11" s="61">
        <v>714</v>
      </c>
      <c r="AU11" s="108">
        <v>573</v>
      </c>
      <c r="AV11" s="51">
        <v>562</v>
      </c>
      <c r="AW11" s="108">
        <v>603</v>
      </c>
      <c r="AX11" s="108">
        <v>780</v>
      </c>
      <c r="AY11" s="48">
        <v>570</v>
      </c>
      <c r="AZ11" s="48">
        <v>450</v>
      </c>
      <c r="BA11" s="61">
        <v>515</v>
      </c>
      <c r="BB11" s="61">
        <v>515</v>
      </c>
      <c r="BC11" s="61">
        <v>550</v>
      </c>
      <c r="BD11" s="108">
        <v>600</v>
      </c>
      <c r="BE11" s="61">
        <v>516</v>
      </c>
      <c r="BF11" s="108">
        <v>468</v>
      </c>
      <c r="BG11" s="51">
        <v>600</v>
      </c>
      <c r="BH11" s="108">
        <v>720</v>
      </c>
      <c r="BI11" s="108">
        <v>846</v>
      </c>
      <c r="BJ11" s="48">
        <v>828</v>
      </c>
      <c r="BK11" s="48">
        <v>744</v>
      </c>
      <c r="BL11" s="61">
        <v>711</v>
      </c>
      <c r="BM11" s="61">
        <v>702</v>
      </c>
      <c r="BN11" s="108">
        <v>864</v>
      </c>
      <c r="BO11" s="61">
        <v>828</v>
      </c>
      <c r="BP11" s="108">
        <v>943</v>
      </c>
      <c r="BQ11" s="108">
        <v>726</v>
      </c>
      <c r="BR11" s="48">
        <v>924</v>
      </c>
      <c r="BS11" s="48">
        <v>774</v>
      </c>
      <c r="BT11" s="61">
        <v>756</v>
      </c>
      <c r="BU11" s="61">
        <v>582</v>
      </c>
      <c r="BV11" s="61">
        <v>900</v>
      </c>
      <c r="BW11" s="108">
        <v>787</v>
      </c>
      <c r="BX11" s="61">
        <v>942</v>
      </c>
      <c r="BY11" s="108">
        <v>747</v>
      </c>
      <c r="BZ11" s="51">
        <v>768</v>
      </c>
      <c r="CA11" s="108">
        <v>774</v>
      </c>
      <c r="CB11" s="108">
        <v>1108</v>
      </c>
      <c r="CC11" s="48">
        <v>1000</v>
      </c>
      <c r="CD11" s="48"/>
      <c r="CE11" s="61"/>
      <c r="CF11" s="61"/>
      <c r="CG11" s="108"/>
      <c r="CH11" s="61"/>
      <c r="CI11" s="108"/>
      <c r="CJ11" s="51"/>
      <c r="CK11" s="108"/>
      <c r="CL11" s="108"/>
      <c r="CM11" s="48"/>
      <c r="CN11" s="48"/>
      <c r="CO11" s="61"/>
      <c r="CP11" s="61"/>
      <c r="CQ11" s="61"/>
      <c r="CR11" s="108"/>
      <c r="CS11" s="61"/>
      <c r="CT11" s="108"/>
      <c r="CU11" s="51"/>
      <c r="CV11" s="108"/>
      <c r="CW11" s="108"/>
      <c r="CX11" s="48"/>
    </row>
    <row r="12" spans="2:102" ht="23.25" customHeight="1" x14ac:dyDescent="0.25">
      <c r="B12" s="238"/>
      <c r="C12" s="262"/>
      <c r="D12" s="262"/>
      <c r="E12" s="106" t="s">
        <v>6</v>
      </c>
      <c r="F12" s="50"/>
      <c r="G12" s="50">
        <f>SUM(G11:G11)/8</f>
        <v>0</v>
      </c>
      <c r="H12" s="50">
        <f>H11/8</f>
        <v>0</v>
      </c>
      <c r="I12" s="50">
        <f>I11/8</f>
        <v>0</v>
      </c>
      <c r="J12" s="50">
        <f>J11/8</f>
        <v>0</v>
      </c>
      <c r="K12" s="50">
        <f>K11/8</f>
        <v>0</v>
      </c>
      <c r="L12" s="50">
        <f>SUM(L11:L11)/8</f>
        <v>0</v>
      </c>
      <c r="M12" s="50">
        <f>M11/8</f>
        <v>0</v>
      </c>
      <c r="N12" s="66">
        <f>N11/8</f>
        <v>36.75</v>
      </c>
      <c r="O12" s="66">
        <f>O11/8</f>
        <v>34.5</v>
      </c>
      <c r="P12" s="66">
        <f>P11/8</f>
        <v>37.25</v>
      </c>
      <c r="Q12" s="66">
        <f>Q11/9</f>
        <v>31.333333333333332</v>
      </c>
      <c r="R12" s="66">
        <f>R11/8</f>
        <v>58.5</v>
      </c>
      <c r="S12" s="66">
        <f>S11/8</f>
        <v>38.25</v>
      </c>
      <c r="T12" s="66">
        <f>T11/10</f>
        <v>33</v>
      </c>
      <c r="U12" s="66">
        <f>U11/9</f>
        <v>42.666666666666664</v>
      </c>
      <c r="V12" s="66">
        <f>V11/9</f>
        <v>36.666666666666664</v>
      </c>
      <c r="W12" s="66">
        <f>+W11/8</f>
        <v>33.75</v>
      </c>
      <c r="X12" s="50">
        <f>+X11/8</f>
        <v>39.375</v>
      </c>
      <c r="Y12" s="50">
        <f>+Y11/8</f>
        <v>58.5</v>
      </c>
      <c r="Z12" s="50">
        <f>Z11/8</f>
        <v>57.75</v>
      </c>
      <c r="AA12" s="50">
        <f>AA11/9</f>
        <v>55.333333333333336</v>
      </c>
      <c r="AB12" s="50">
        <f t="shared" ref="AB12:AG12" si="8">AB11/9</f>
        <v>51.333333333333336</v>
      </c>
      <c r="AC12" s="50">
        <f>AC11/9</f>
        <v>35.333333333333336</v>
      </c>
      <c r="AD12" s="50">
        <f>AD11/9</f>
        <v>42.888888888888886</v>
      </c>
      <c r="AE12" s="50">
        <f>AE11/9</f>
        <v>45.444444444444443</v>
      </c>
      <c r="AF12" s="50">
        <f t="shared" si="8"/>
        <v>45.555555555555557</v>
      </c>
      <c r="AG12" s="50">
        <f t="shared" si="8"/>
        <v>56</v>
      </c>
      <c r="AH12" s="50">
        <f>AH11/7</f>
        <v>70.285714285714292</v>
      </c>
      <c r="AI12" s="50">
        <f>AI11/10</f>
        <v>61.2</v>
      </c>
      <c r="AJ12" s="50">
        <f>AJ11/10</f>
        <v>71.3</v>
      </c>
      <c r="AK12" s="50">
        <f>AK11/9</f>
        <v>62</v>
      </c>
      <c r="AL12" s="50">
        <f>AL11/7</f>
        <v>70.857142857142861</v>
      </c>
      <c r="AM12" s="50">
        <f>AM11/10</f>
        <v>69.400000000000006</v>
      </c>
      <c r="AN12" s="50">
        <f>AN11/10</f>
        <v>78.599999999999994</v>
      </c>
      <c r="AO12" s="50">
        <f>AO11/10</f>
        <v>31.2</v>
      </c>
      <c r="AP12" s="50">
        <f>AP11/10</f>
        <v>76.400000000000006</v>
      </c>
      <c r="AQ12" s="50">
        <f>AQ11/10</f>
        <v>70.900000000000006</v>
      </c>
      <c r="AR12" s="50">
        <f>AR11/7</f>
        <v>82.142857142857139</v>
      </c>
      <c r="AS12" s="50">
        <f>AS11/10</f>
        <v>50.2</v>
      </c>
      <c r="AT12" s="50">
        <f>AT11/10</f>
        <v>71.400000000000006</v>
      </c>
      <c r="AU12" s="50">
        <f>AU11/10</f>
        <v>57.3</v>
      </c>
      <c r="AV12" s="50">
        <f>AV11/10</f>
        <v>56.2</v>
      </c>
      <c r="AW12" s="50">
        <f>AW11/10</f>
        <v>60.3</v>
      </c>
      <c r="AX12" s="50">
        <f t="shared" ref="AX12:BH12" si="9">AX11/10</f>
        <v>78</v>
      </c>
      <c r="AY12" s="50">
        <f t="shared" si="9"/>
        <v>57</v>
      </c>
      <c r="AZ12" s="50">
        <f t="shared" si="9"/>
        <v>45</v>
      </c>
      <c r="BA12" s="50">
        <f t="shared" si="9"/>
        <v>51.5</v>
      </c>
      <c r="BB12" s="50">
        <f t="shared" si="9"/>
        <v>51.5</v>
      </c>
      <c r="BC12" s="50">
        <f t="shared" si="9"/>
        <v>55</v>
      </c>
      <c r="BD12" s="50">
        <f t="shared" si="9"/>
        <v>60</v>
      </c>
      <c r="BE12" s="50">
        <f t="shared" si="9"/>
        <v>51.6</v>
      </c>
      <c r="BF12" s="50">
        <f t="shared" si="9"/>
        <v>46.8</v>
      </c>
      <c r="BG12" s="50">
        <f t="shared" si="9"/>
        <v>60</v>
      </c>
      <c r="BH12" s="50">
        <f t="shared" si="9"/>
        <v>72</v>
      </c>
      <c r="BI12" s="50">
        <f>BI11/10</f>
        <v>84.6</v>
      </c>
      <c r="BJ12" s="50">
        <f>BJ11/11</f>
        <v>75.272727272727266</v>
      </c>
      <c r="BK12" s="50">
        <f>BK11/12</f>
        <v>62</v>
      </c>
      <c r="BL12" s="50">
        <f>BL11/11</f>
        <v>64.63636363636364</v>
      </c>
      <c r="BM12" s="50">
        <f>BM11/11</f>
        <v>63.81818181818182</v>
      </c>
      <c r="BN12" s="50">
        <f>BN11/11</f>
        <v>78.545454545454547</v>
      </c>
      <c r="BO12" s="50">
        <f>BO11/11</f>
        <v>75.272727272727266</v>
      </c>
      <c r="BP12" s="50">
        <f>BP11/11</f>
        <v>85.727272727272734</v>
      </c>
      <c r="BQ12" s="50">
        <f>BQ11/12</f>
        <v>60.5</v>
      </c>
      <c r="BR12" s="50">
        <f t="shared" ref="BR12:CW12" si="10">BR11/12</f>
        <v>77</v>
      </c>
      <c r="BS12" s="50">
        <f t="shared" si="10"/>
        <v>64.5</v>
      </c>
      <c r="BT12" s="50">
        <f t="shared" si="10"/>
        <v>63</v>
      </c>
      <c r="BU12" s="50">
        <f>BU11/10</f>
        <v>58.2</v>
      </c>
      <c r="BV12" s="50">
        <f t="shared" si="10"/>
        <v>75</v>
      </c>
      <c r="BW12" s="50">
        <f t="shared" si="10"/>
        <v>65.583333333333329</v>
      </c>
      <c r="BX12" s="50">
        <f t="shared" si="10"/>
        <v>78.5</v>
      </c>
      <c r="BY12" s="50">
        <f t="shared" si="10"/>
        <v>62.25</v>
      </c>
      <c r="BZ12" s="50">
        <f t="shared" si="10"/>
        <v>64</v>
      </c>
      <c r="CA12" s="50">
        <f t="shared" si="10"/>
        <v>64.5</v>
      </c>
      <c r="CB12" s="50">
        <f t="shared" si="10"/>
        <v>92.333333333333329</v>
      </c>
      <c r="CC12" s="50">
        <f t="shared" si="10"/>
        <v>83.333333333333329</v>
      </c>
      <c r="CD12" s="50">
        <f t="shared" si="10"/>
        <v>0</v>
      </c>
      <c r="CE12" s="50">
        <f t="shared" si="10"/>
        <v>0</v>
      </c>
      <c r="CF12" s="50">
        <f t="shared" si="10"/>
        <v>0</v>
      </c>
      <c r="CG12" s="50">
        <f t="shared" si="10"/>
        <v>0</v>
      </c>
      <c r="CH12" s="50">
        <f t="shared" si="10"/>
        <v>0</v>
      </c>
      <c r="CI12" s="50">
        <f t="shared" si="10"/>
        <v>0</v>
      </c>
      <c r="CJ12" s="50">
        <f t="shared" si="10"/>
        <v>0</v>
      </c>
      <c r="CK12" s="50">
        <f t="shared" si="10"/>
        <v>0</v>
      </c>
      <c r="CL12" s="50">
        <f t="shared" si="10"/>
        <v>0</v>
      </c>
      <c r="CM12" s="50">
        <f t="shared" si="10"/>
        <v>0</v>
      </c>
      <c r="CN12" s="50">
        <f t="shared" si="10"/>
        <v>0</v>
      </c>
      <c r="CO12" s="50">
        <f t="shared" si="10"/>
        <v>0</v>
      </c>
      <c r="CP12" s="50">
        <f t="shared" si="10"/>
        <v>0</v>
      </c>
      <c r="CQ12" s="50">
        <f t="shared" si="10"/>
        <v>0</v>
      </c>
      <c r="CR12" s="50">
        <f t="shared" si="10"/>
        <v>0</v>
      </c>
      <c r="CS12" s="50">
        <f t="shared" si="10"/>
        <v>0</v>
      </c>
      <c r="CT12" s="50">
        <f t="shared" si="10"/>
        <v>0</v>
      </c>
      <c r="CU12" s="50">
        <f t="shared" si="10"/>
        <v>0</v>
      </c>
      <c r="CV12" s="50">
        <f t="shared" si="10"/>
        <v>0</v>
      </c>
      <c r="CW12" s="50">
        <f t="shared" si="10"/>
        <v>0</v>
      </c>
      <c r="CX12" s="50">
        <f>CX11/11</f>
        <v>0</v>
      </c>
    </row>
    <row r="13" spans="2:102" s="12" customFormat="1" ht="23.25" customHeight="1" x14ac:dyDescent="0.25">
      <c r="B13" s="238" t="s">
        <v>8</v>
      </c>
      <c r="C13" s="262"/>
      <c r="D13" s="262"/>
      <c r="E13" s="106" t="str">
        <f>E9</f>
        <v>Output/Day</v>
      </c>
      <c r="F13" s="61"/>
      <c r="G13" s="61"/>
      <c r="H13" s="61"/>
      <c r="I13" s="108"/>
      <c r="J13" s="108"/>
      <c r="K13" s="108"/>
      <c r="L13" s="108"/>
      <c r="M13" s="108"/>
      <c r="N13" s="24">
        <v>264</v>
      </c>
      <c r="O13" s="24">
        <v>300</v>
      </c>
      <c r="P13" s="24">
        <v>300</v>
      </c>
      <c r="Q13" s="24">
        <v>330</v>
      </c>
      <c r="R13" s="24">
        <v>456</v>
      </c>
      <c r="S13" s="24">
        <v>366</v>
      </c>
      <c r="T13" s="24">
        <v>348</v>
      </c>
      <c r="U13" s="24">
        <v>302</v>
      </c>
      <c r="V13" s="24">
        <v>402</v>
      </c>
      <c r="W13" s="61">
        <v>408</v>
      </c>
      <c r="X13" s="61">
        <v>420</v>
      </c>
      <c r="Y13" s="61">
        <v>480</v>
      </c>
      <c r="Z13" s="108">
        <v>504</v>
      </c>
      <c r="AA13" s="108">
        <v>504</v>
      </c>
      <c r="AB13" s="108">
        <v>504</v>
      </c>
      <c r="AC13" s="108">
        <v>504</v>
      </c>
      <c r="AD13" s="108">
        <v>546</v>
      </c>
      <c r="AE13" s="108">
        <v>660</v>
      </c>
      <c r="AF13" s="61">
        <v>650</v>
      </c>
      <c r="AG13" s="61">
        <v>684</v>
      </c>
      <c r="AH13" s="61">
        <v>438</v>
      </c>
      <c r="AI13" s="108">
        <v>630</v>
      </c>
      <c r="AJ13" s="61">
        <v>702</v>
      </c>
      <c r="AK13" s="108">
        <v>456</v>
      </c>
      <c r="AL13" s="108">
        <v>449</v>
      </c>
      <c r="AM13" s="108">
        <v>708</v>
      </c>
      <c r="AN13" s="108">
        <v>720</v>
      </c>
      <c r="AO13" s="108">
        <v>633</v>
      </c>
      <c r="AP13" s="108">
        <v>840</v>
      </c>
      <c r="AQ13" s="61">
        <v>804</v>
      </c>
      <c r="AR13" s="61">
        <v>438</v>
      </c>
      <c r="AS13" s="108">
        <v>840</v>
      </c>
      <c r="AT13" s="61">
        <v>702</v>
      </c>
      <c r="AU13" s="108">
        <v>702</v>
      </c>
      <c r="AV13" s="108">
        <v>702</v>
      </c>
      <c r="AW13" s="108">
        <v>630</v>
      </c>
      <c r="AX13" s="108">
        <v>804</v>
      </c>
      <c r="AY13" s="108">
        <v>726</v>
      </c>
      <c r="AZ13" s="108">
        <v>450</v>
      </c>
      <c r="BA13" s="61">
        <v>504</v>
      </c>
      <c r="BB13" s="61">
        <v>504</v>
      </c>
      <c r="BC13" s="61">
        <v>600</v>
      </c>
      <c r="BD13" s="108">
        <v>720</v>
      </c>
      <c r="BE13" s="61">
        <v>600</v>
      </c>
      <c r="BF13" s="108">
        <v>504</v>
      </c>
      <c r="BG13" s="108">
        <v>702</v>
      </c>
      <c r="BH13" s="108">
        <v>756</v>
      </c>
      <c r="BI13" s="108">
        <v>840</v>
      </c>
      <c r="BJ13" s="108">
        <v>803</v>
      </c>
      <c r="BK13" s="108">
        <v>804</v>
      </c>
      <c r="BL13" s="61">
        <v>868</v>
      </c>
      <c r="BM13" s="61">
        <v>804</v>
      </c>
      <c r="BN13" s="108">
        <v>900</v>
      </c>
      <c r="BO13" s="61">
        <v>912</v>
      </c>
      <c r="BP13" s="108">
        <v>900</v>
      </c>
      <c r="BQ13" s="108">
        <v>804</v>
      </c>
      <c r="BR13" s="108">
        <v>900</v>
      </c>
      <c r="BS13" s="108">
        <v>804</v>
      </c>
      <c r="BT13" s="61">
        <v>840</v>
      </c>
      <c r="BU13" s="61">
        <v>750</v>
      </c>
      <c r="BV13" s="61">
        <v>900</v>
      </c>
      <c r="BW13" s="108">
        <v>900</v>
      </c>
      <c r="BX13" s="61">
        <v>924</v>
      </c>
      <c r="BY13" s="108">
        <v>924</v>
      </c>
      <c r="BZ13" s="108">
        <v>840</v>
      </c>
      <c r="CA13" s="108">
        <v>804</v>
      </c>
      <c r="CB13" s="108">
        <v>900</v>
      </c>
      <c r="CC13" s="108">
        <v>980</v>
      </c>
      <c r="CD13" s="108"/>
      <c r="CE13" s="61"/>
      <c r="CF13" s="61"/>
      <c r="CG13" s="108"/>
      <c r="CH13" s="61"/>
      <c r="CI13" s="108"/>
      <c r="CJ13" s="108"/>
      <c r="CK13" s="108"/>
      <c r="CL13" s="108"/>
      <c r="CM13" s="108"/>
      <c r="CN13" s="108"/>
      <c r="CO13" s="61"/>
      <c r="CP13" s="61"/>
      <c r="CQ13" s="61"/>
      <c r="CR13" s="108"/>
      <c r="CS13" s="61"/>
      <c r="CT13" s="108"/>
      <c r="CU13" s="108"/>
      <c r="CV13" s="108"/>
      <c r="CW13" s="108"/>
      <c r="CX13" s="108"/>
    </row>
    <row r="14" spans="2:102" ht="23.25" customHeight="1" x14ac:dyDescent="0.25">
      <c r="B14" s="238"/>
      <c r="C14" s="262"/>
      <c r="D14" s="262"/>
      <c r="E14" s="106" t="s">
        <v>6</v>
      </c>
      <c r="F14" s="50"/>
      <c r="G14" s="50">
        <f>SUM(G13:G13)/8</f>
        <v>0</v>
      </c>
      <c r="H14" s="50">
        <f>H13/8</f>
        <v>0</v>
      </c>
      <c r="I14" s="50">
        <f>I13/8</f>
        <v>0</v>
      </c>
      <c r="J14" s="50">
        <f>J13/8</f>
        <v>0</v>
      </c>
      <c r="K14" s="50">
        <f>K13/8</f>
        <v>0</v>
      </c>
      <c r="L14" s="50">
        <f>SUM(L13:L13)/8</f>
        <v>0</v>
      </c>
      <c r="M14" s="50">
        <f>M13/8</f>
        <v>0</v>
      </c>
      <c r="N14" s="66">
        <f>N13/8</f>
        <v>33</v>
      </c>
      <c r="O14" s="66">
        <f>O13/8</f>
        <v>37.5</v>
      </c>
      <c r="P14" s="66">
        <f>P13/8</f>
        <v>37.5</v>
      </c>
      <c r="Q14" s="66">
        <f>Q13/9</f>
        <v>36.666666666666664</v>
      </c>
      <c r="R14" s="66">
        <f>R13/8</f>
        <v>57</v>
      </c>
      <c r="S14" s="66">
        <f>S13/8</f>
        <v>45.75</v>
      </c>
      <c r="T14" s="66">
        <f>T13/9</f>
        <v>38.666666666666664</v>
      </c>
      <c r="U14" s="66">
        <f>U13/9</f>
        <v>33.555555555555557</v>
      </c>
      <c r="V14" s="66">
        <f>V13/9</f>
        <v>44.666666666666664</v>
      </c>
      <c r="W14" s="66">
        <f>+W13/9</f>
        <v>45.333333333333336</v>
      </c>
      <c r="X14" s="50">
        <f>+X13/8</f>
        <v>52.5</v>
      </c>
      <c r="Y14" s="50">
        <f>Y13/8</f>
        <v>60</v>
      </c>
      <c r="Z14" s="50">
        <f>Z13/8</f>
        <v>63</v>
      </c>
      <c r="AA14" s="50">
        <f>AA13/9</f>
        <v>56</v>
      </c>
      <c r="AB14" s="50">
        <f t="shared" ref="AB14:AG14" si="11">AB13/9</f>
        <v>56</v>
      </c>
      <c r="AC14" s="50">
        <f t="shared" si="11"/>
        <v>56</v>
      </c>
      <c r="AD14" s="50">
        <f t="shared" si="11"/>
        <v>60.666666666666664</v>
      </c>
      <c r="AE14" s="50">
        <f t="shared" si="11"/>
        <v>73.333333333333329</v>
      </c>
      <c r="AF14" s="50">
        <f t="shared" si="11"/>
        <v>72.222222222222229</v>
      </c>
      <c r="AG14" s="50">
        <f t="shared" si="11"/>
        <v>76</v>
      </c>
      <c r="AH14" s="50">
        <f>AH13/7</f>
        <v>62.571428571428569</v>
      </c>
      <c r="AI14" s="50">
        <f>AI13/10</f>
        <v>63</v>
      </c>
      <c r="AJ14" s="50">
        <f>AJ13/10</f>
        <v>70.2</v>
      </c>
      <c r="AK14" s="50">
        <f>AK13/9</f>
        <v>50.666666666666664</v>
      </c>
      <c r="AL14" s="50">
        <f>AL13/7</f>
        <v>64.142857142857139</v>
      </c>
      <c r="AM14" s="50">
        <f>AM13/10</f>
        <v>70.8</v>
      </c>
      <c r="AN14" s="50">
        <f>AN13/10</f>
        <v>72</v>
      </c>
      <c r="AO14" s="50">
        <f>AO13/10</f>
        <v>63.3</v>
      </c>
      <c r="AP14" s="50">
        <f>AP13/10</f>
        <v>84</v>
      </c>
      <c r="AQ14" s="50">
        <f>AQ13/10</f>
        <v>80.400000000000006</v>
      </c>
      <c r="AR14" s="50">
        <f>AR13/7</f>
        <v>62.571428571428569</v>
      </c>
      <c r="AS14" s="50">
        <f t="shared" ref="AS14:AY14" si="12">AS13/10</f>
        <v>84</v>
      </c>
      <c r="AT14" s="50">
        <f t="shared" si="12"/>
        <v>70.2</v>
      </c>
      <c r="AU14" s="50">
        <f t="shared" si="12"/>
        <v>70.2</v>
      </c>
      <c r="AV14" s="50">
        <f t="shared" si="12"/>
        <v>70.2</v>
      </c>
      <c r="AW14" s="50">
        <f t="shared" si="12"/>
        <v>63</v>
      </c>
      <c r="AX14" s="50">
        <f t="shared" si="12"/>
        <v>80.400000000000006</v>
      </c>
      <c r="AY14" s="50">
        <f t="shared" si="12"/>
        <v>72.599999999999994</v>
      </c>
      <c r="AZ14" s="50">
        <f>AZ13/10</f>
        <v>45</v>
      </c>
      <c r="BA14" s="50">
        <f>BA13/10</f>
        <v>50.4</v>
      </c>
      <c r="BB14" s="50">
        <f>BB13/10</f>
        <v>50.4</v>
      </c>
      <c r="BC14" s="50">
        <f t="shared" ref="BC14:BI14" si="13">BC13/10</f>
        <v>60</v>
      </c>
      <c r="BD14" s="50">
        <f t="shared" si="13"/>
        <v>72</v>
      </c>
      <c r="BE14" s="50">
        <f t="shared" si="13"/>
        <v>60</v>
      </c>
      <c r="BF14" s="50">
        <f t="shared" si="13"/>
        <v>50.4</v>
      </c>
      <c r="BG14" s="50">
        <f t="shared" si="13"/>
        <v>70.2</v>
      </c>
      <c r="BH14" s="50">
        <f t="shared" si="13"/>
        <v>75.599999999999994</v>
      </c>
      <c r="BI14" s="50">
        <f t="shared" si="13"/>
        <v>84</v>
      </c>
      <c r="BJ14" s="50">
        <f>BJ13/11</f>
        <v>73</v>
      </c>
      <c r="BK14" s="50">
        <f>BK13/12</f>
        <v>67</v>
      </c>
      <c r="BL14" s="50">
        <f>BL13/11</f>
        <v>78.909090909090907</v>
      </c>
      <c r="BM14" s="50">
        <f>BM13/11</f>
        <v>73.090909090909093</v>
      </c>
      <c r="BN14" s="50">
        <f>BN13/11</f>
        <v>81.818181818181813</v>
      </c>
      <c r="BO14" s="50">
        <f>BO13/11</f>
        <v>82.909090909090907</v>
      </c>
      <c r="BP14" s="50">
        <f>BP13/11</f>
        <v>81.818181818181813</v>
      </c>
      <c r="BQ14" s="50">
        <f>BQ13/12</f>
        <v>67</v>
      </c>
      <c r="BR14" s="50">
        <f t="shared" ref="BR14:CW14" si="14">BR13/12</f>
        <v>75</v>
      </c>
      <c r="BS14" s="50">
        <f t="shared" si="14"/>
        <v>67</v>
      </c>
      <c r="BT14" s="50">
        <f t="shared" si="14"/>
        <v>70</v>
      </c>
      <c r="BU14" s="50">
        <f>BU13/10</f>
        <v>75</v>
      </c>
      <c r="BV14" s="50">
        <f t="shared" si="14"/>
        <v>75</v>
      </c>
      <c r="BW14" s="50">
        <f t="shared" si="14"/>
        <v>75</v>
      </c>
      <c r="BX14" s="50">
        <f t="shared" si="14"/>
        <v>77</v>
      </c>
      <c r="BY14" s="50">
        <f t="shared" si="14"/>
        <v>77</v>
      </c>
      <c r="BZ14" s="50">
        <f t="shared" si="14"/>
        <v>70</v>
      </c>
      <c r="CA14" s="50">
        <f t="shared" si="14"/>
        <v>67</v>
      </c>
      <c r="CB14" s="50">
        <f t="shared" si="14"/>
        <v>75</v>
      </c>
      <c r="CC14" s="50">
        <f t="shared" si="14"/>
        <v>81.666666666666671</v>
      </c>
      <c r="CD14" s="50">
        <f t="shared" si="14"/>
        <v>0</v>
      </c>
      <c r="CE14" s="50">
        <f t="shared" si="14"/>
        <v>0</v>
      </c>
      <c r="CF14" s="50">
        <f t="shared" si="14"/>
        <v>0</v>
      </c>
      <c r="CG14" s="50">
        <f t="shared" si="14"/>
        <v>0</v>
      </c>
      <c r="CH14" s="50">
        <f t="shared" si="14"/>
        <v>0</v>
      </c>
      <c r="CI14" s="50">
        <f t="shared" si="14"/>
        <v>0</v>
      </c>
      <c r="CJ14" s="50">
        <f t="shared" si="14"/>
        <v>0</v>
      </c>
      <c r="CK14" s="50">
        <f t="shared" si="14"/>
        <v>0</v>
      </c>
      <c r="CL14" s="50">
        <f t="shared" si="14"/>
        <v>0</v>
      </c>
      <c r="CM14" s="50">
        <f t="shared" si="14"/>
        <v>0</v>
      </c>
      <c r="CN14" s="50">
        <f t="shared" si="14"/>
        <v>0</v>
      </c>
      <c r="CO14" s="50">
        <f t="shared" si="14"/>
        <v>0</v>
      </c>
      <c r="CP14" s="50">
        <f t="shared" si="14"/>
        <v>0</v>
      </c>
      <c r="CQ14" s="50">
        <f t="shared" si="14"/>
        <v>0</v>
      </c>
      <c r="CR14" s="50">
        <f t="shared" si="14"/>
        <v>0</v>
      </c>
      <c r="CS14" s="50">
        <f t="shared" si="14"/>
        <v>0</v>
      </c>
      <c r="CT14" s="50">
        <f t="shared" si="14"/>
        <v>0</v>
      </c>
      <c r="CU14" s="50">
        <f t="shared" si="14"/>
        <v>0</v>
      </c>
      <c r="CV14" s="50">
        <f t="shared" si="14"/>
        <v>0</v>
      </c>
      <c r="CW14" s="50">
        <f t="shared" si="14"/>
        <v>0</v>
      </c>
      <c r="CX14" s="50">
        <f>CX13/11</f>
        <v>0</v>
      </c>
    </row>
    <row r="15" spans="2:102" s="13" customFormat="1" ht="23.25" customHeight="1" x14ac:dyDescent="0.3">
      <c r="B15" s="238" t="s">
        <v>13</v>
      </c>
      <c r="C15" s="262"/>
      <c r="D15" s="262"/>
      <c r="E15" s="49" t="str">
        <f>E9</f>
        <v>Output/Day</v>
      </c>
      <c r="F15" s="58"/>
      <c r="G15" s="58"/>
      <c r="H15" s="58"/>
      <c r="I15" s="58"/>
      <c r="J15" s="58"/>
      <c r="K15" s="67"/>
      <c r="L15" s="68"/>
      <c r="M15" s="68"/>
      <c r="N15" s="60"/>
      <c r="O15" s="58"/>
      <c r="P15" s="58"/>
      <c r="Q15" s="58"/>
      <c r="R15" s="60"/>
      <c r="S15" s="58"/>
      <c r="T15" s="60"/>
      <c r="U15" s="60"/>
      <c r="V15" s="60">
        <v>470</v>
      </c>
      <c r="W15" s="58">
        <v>734</v>
      </c>
      <c r="X15" s="58">
        <v>712</v>
      </c>
      <c r="Y15" s="58">
        <v>758</v>
      </c>
      <c r="Z15" s="58">
        <v>708</v>
      </c>
      <c r="AA15" s="58">
        <v>715</v>
      </c>
      <c r="AB15" s="58">
        <v>712</v>
      </c>
      <c r="AC15" s="58">
        <v>705</v>
      </c>
      <c r="AD15" s="68">
        <v>720</v>
      </c>
      <c r="AE15" s="68">
        <v>700</v>
      </c>
      <c r="AF15" s="67">
        <v>927</v>
      </c>
      <c r="AG15" s="67">
        <v>782</v>
      </c>
      <c r="AH15" s="67">
        <v>500</v>
      </c>
      <c r="AI15" s="68">
        <v>940</v>
      </c>
      <c r="AJ15" s="67">
        <v>925</v>
      </c>
      <c r="AK15" s="68">
        <v>960</v>
      </c>
      <c r="AL15" s="68">
        <v>0</v>
      </c>
      <c r="AM15" s="58">
        <v>818</v>
      </c>
      <c r="AN15" s="58">
        <v>567</v>
      </c>
      <c r="AO15" s="68">
        <v>1020</v>
      </c>
      <c r="AP15" s="68">
        <v>1050</v>
      </c>
      <c r="AQ15" s="44">
        <v>1040</v>
      </c>
      <c r="AR15" s="67">
        <v>601</v>
      </c>
      <c r="AS15" s="68">
        <v>1080</v>
      </c>
      <c r="AT15" s="44">
        <v>1065</v>
      </c>
      <c r="AU15" s="68">
        <v>755</v>
      </c>
      <c r="AV15" s="68">
        <v>811</v>
      </c>
      <c r="AW15" s="58">
        <v>905</v>
      </c>
      <c r="AX15" s="58">
        <v>830</v>
      </c>
      <c r="AY15" s="68">
        <v>1021</v>
      </c>
      <c r="AZ15" s="68">
        <v>940</v>
      </c>
      <c r="BA15" s="67">
        <v>885</v>
      </c>
      <c r="BB15" s="67">
        <v>1009</v>
      </c>
      <c r="BC15" s="67">
        <v>995</v>
      </c>
      <c r="BD15" s="68">
        <v>960</v>
      </c>
      <c r="BE15" s="67">
        <v>656</v>
      </c>
      <c r="BF15" s="98">
        <v>1000</v>
      </c>
      <c r="BG15" s="68">
        <v>1046</v>
      </c>
      <c r="BH15" s="58">
        <v>920</v>
      </c>
      <c r="BI15" s="58">
        <v>450</v>
      </c>
      <c r="BJ15" s="68">
        <v>1175</v>
      </c>
      <c r="BK15" s="68">
        <v>973</v>
      </c>
      <c r="BL15" s="44">
        <v>1093</v>
      </c>
      <c r="BM15" s="67">
        <v>598</v>
      </c>
      <c r="BN15" s="68">
        <v>442</v>
      </c>
      <c r="BO15" s="44">
        <v>442</v>
      </c>
      <c r="BP15" s="58">
        <v>773</v>
      </c>
      <c r="BQ15" s="58">
        <v>985</v>
      </c>
      <c r="BR15" s="68">
        <v>785</v>
      </c>
      <c r="BS15" s="68">
        <v>570</v>
      </c>
      <c r="BT15" s="67">
        <v>870</v>
      </c>
      <c r="BU15" s="67">
        <v>757</v>
      </c>
      <c r="BV15" s="67">
        <v>915</v>
      </c>
      <c r="BW15" s="68">
        <v>945</v>
      </c>
      <c r="BX15" s="67">
        <v>1040</v>
      </c>
      <c r="BY15" s="68">
        <v>807</v>
      </c>
      <c r="BZ15" s="68">
        <v>908</v>
      </c>
      <c r="CA15" s="58">
        <v>616</v>
      </c>
      <c r="CB15" s="58">
        <v>1002</v>
      </c>
      <c r="CC15" s="68">
        <v>976</v>
      </c>
      <c r="CD15" s="68"/>
      <c r="CE15" s="44"/>
      <c r="CF15" s="67"/>
      <c r="CG15" s="68"/>
      <c r="CH15" s="44"/>
      <c r="CI15" s="68"/>
      <c r="CJ15" s="68"/>
      <c r="CK15" s="58"/>
      <c r="CL15" s="58"/>
      <c r="CM15" s="68"/>
      <c r="CN15" s="68"/>
      <c r="CO15" s="67"/>
      <c r="CP15" s="67"/>
      <c r="CQ15" s="67"/>
      <c r="CR15" s="68"/>
      <c r="CS15" s="67"/>
      <c r="CT15" s="98"/>
      <c r="CU15" s="68"/>
      <c r="CV15" s="58"/>
      <c r="CW15" s="58"/>
      <c r="CX15" s="68"/>
    </row>
    <row r="16" spans="2:102" ht="23.25" customHeight="1" x14ac:dyDescent="0.25">
      <c r="B16" s="238"/>
      <c r="C16" s="262"/>
      <c r="D16" s="262"/>
      <c r="E16" s="106" t="s">
        <v>6</v>
      </c>
      <c r="F16" s="50"/>
      <c r="G16" s="50">
        <f>SUM(G15:G15)/8</f>
        <v>0</v>
      </c>
      <c r="H16" s="50">
        <f>SUM(H15:H15)/8</f>
        <v>0</v>
      </c>
      <c r="I16" s="50">
        <f>I15/8</f>
        <v>0</v>
      </c>
      <c r="J16" s="50">
        <f>J15/8</f>
        <v>0</v>
      </c>
      <c r="K16" s="50">
        <f>K15/8</f>
        <v>0</v>
      </c>
      <c r="L16" s="50">
        <f t="shared" ref="L16:U16" si="15">SUM(L15:L15)/8</f>
        <v>0</v>
      </c>
      <c r="M16" s="50">
        <f t="shared" si="15"/>
        <v>0</v>
      </c>
      <c r="N16" s="66">
        <f t="shared" si="15"/>
        <v>0</v>
      </c>
      <c r="O16" s="66">
        <f t="shared" si="15"/>
        <v>0</v>
      </c>
      <c r="P16" s="66">
        <f t="shared" si="15"/>
        <v>0</v>
      </c>
      <c r="Q16" s="66">
        <f t="shared" si="15"/>
        <v>0</v>
      </c>
      <c r="R16" s="66">
        <f t="shared" si="15"/>
        <v>0</v>
      </c>
      <c r="S16" s="66">
        <f t="shared" si="15"/>
        <v>0</v>
      </c>
      <c r="T16" s="66">
        <f t="shared" si="15"/>
        <v>0</v>
      </c>
      <c r="U16" s="66">
        <f t="shared" si="15"/>
        <v>0</v>
      </c>
      <c r="V16" s="66">
        <f>+V15/8</f>
        <v>58.75</v>
      </c>
      <c r="W16" s="66">
        <f>+W15/8</f>
        <v>91.75</v>
      </c>
      <c r="X16" s="50">
        <f>+X15/8</f>
        <v>89</v>
      </c>
      <c r="Y16" s="50">
        <f>+Y15/8</f>
        <v>94.75</v>
      </c>
      <c r="Z16" s="50">
        <f>Z15/8</f>
        <v>88.5</v>
      </c>
      <c r="AA16" s="50">
        <f>AA15/8</f>
        <v>89.375</v>
      </c>
      <c r="AB16" s="50">
        <f>AB15/8</f>
        <v>89</v>
      </c>
      <c r="AC16" s="50">
        <f>AC15/9</f>
        <v>78.333333333333329</v>
      </c>
      <c r="AD16" s="50">
        <f>AD15/9</f>
        <v>80</v>
      </c>
      <c r="AE16" s="50">
        <f>AE15/9</f>
        <v>77.777777777777771</v>
      </c>
      <c r="AF16" s="50">
        <f>AF15/9</f>
        <v>103</v>
      </c>
      <c r="AG16" s="50">
        <f>AG15/9</f>
        <v>86.888888888888886</v>
      </c>
      <c r="AH16" s="50">
        <f>AH15/5</f>
        <v>100</v>
      </c>
      <c r="AI16" s="50">
        <f>AI15/9</f>
        <v>104.44444444444444</v>
      </c>
      <c r="AJ16" s="50">
        <f>AJ15/9</f>
        <v>102.77777777777777</v>
      </c>
      <c r="AK16" s="50">
        <f>AK15/9</f>
        <v>106.66666666666667</v>
      </c>
      <c r="AL16" s="50">
        <f>AL15/8</f>
        <v>0</v>
      </c>
      <c r="AM16" s="50">
        <f>AM15/9</f>
        <v>90.888888888888886</v>
      </c>
      <c r="AN16" s="50">
        <f>AN15/9</f>
        <v>63</v>
      </c>
      <c r="AO16" s="50">
        <f>AO15/9</f>
        <v>113.33333333333333</v>
      </c>
      <c r="AP16" s="50">
        <f>AP15/9</f>
        <v>116.66666666666667</v>
      </c>
      <c r="AQ16" s="50">
        <f>AQ15/9</f>
        <v>115.55555555555556</v>
      </c>
      <c r="AR16" s="50">
        <f>AR15/5</f>
        <v>120.2</v>
      </c>
      <c r="AS16" s="50">
        <f>AS15/9</f>
        <v>120</v>
      </c>
      <c r="AT16" s="50">
        <f>AT15/10</f>
        <v>106.5</v>
      </c>
      <c r="AU16" s="50">
        <f t="shared" ref="AU16:BH16" si="16">AU15/9</f>
        <v>83.888888888888886</v>
      </c>
      <c r="AV16" s="50">
        <f t="shared" si="16"/>
        <v>90.111111111111114</v>
      </c>
      <c r="AW16" s="50">
        <f t="shared" si="16"/>
        <v>100.55555555555556</v>
      </c>
      <c r="AX16" s="50">
        <f t="shared" si="16"/>
        <v>92.222222222222229</v>
      </c>
      <c r="AY16" s="50">
        <f t="shared" si="16"/>
        <v>113.44444444444444</v>
      </c>
      <c r="AZ16" s="50">
        <f t="shared" si="16"/>
        <v>104.44444444444444</v>
      </c>
      <c r="BA16" s="50">
        <f t="shared" si="16"/>
        <v>98.333333333333329</v>
      </c>
      <c r="BB16" s="50">
        <f t="shared" si="16"/>
        <v>112.11111111111111</v>
      </c>
      <c r="BC16" s="50">
        <f t="shared" si="16"/>
        <v>110.55555555555556</v>
      </c>
      <c r="BD16" s="50">
        <f t="shared" si="16"/>
        <v>106.66666666666667</v>
      </c>
      <c r="BE16" s="50">
        <f t="shared" si="16"/>
        <v>72.888888888888886</v>
      </c>
      <c r="BF16" s="50">
        <f t="shared" si="16"/>
        <v>111.11111111111111</v>
      </c>
      <c r="BG16" s="50">
        <f t="shared" si="16"/>
        <v>116.22222222222223</v>
      </c>
      <c r="BH16" s="50">
        <f t="shared" si="16"/>
        <v>102.22222222222223</v>
      </c>
      <c r="BI16" s="100">
        <f>BI15/7</f>
        <v>64.285714285714292</v>
      </c>
      <c r="BJ16" s="50">
        <f>BJ15/12</f>
        <v>97.916666666666671</v>
      </c>
      <c r="BK16" s="50">
        <f>BK15/10</f>
        <v>97.3</v>
      </c>
      <c r="BL16" s="50">
        <f t="shared" ref="BL16:CX16" si="17">BL15/11</f>
        <v>99.36363636363636</v>
      </c>
      <c r="BM16" s="50">
        <f t="shared" si="17"/>
        <v>54.363636363636367</v>
      </c>
      <c r="BN16" s="50">
        <f t="shared" si="17"/>
        <v>40.18181818181818</v>
      </c>
      <c r="BO16" s="50">
        <f t="shared" si="17"/>
        <v>40.18181818181818</v>
      </c>
      <c r="BP16" s="50">
        <f t="shared" si="17"/>
        <v>70.272727272727266</v>
      </c>
      <c r="BQ16" s="50">
        <f t="shared" si="17"/>
        <v>89.545454545454547</v>
      </c>
      <c r="BR16" s="50">
        <f>BR15/11</f>
        <v>71.36363636363636</v>
      </c>
      <c r="BS16" s="50">
        <f>BS15/11</f>
        <v>51.81818181818182</v>
      </c>
      <c r="BT16" s="50">
        <f t="shared" si="17"/>
        <v>79.090909090909093</v>
      </c>
      <c r="BU16" s="50">
        <f>BU15/9</f>
        <v>84.111111111111114</v>
      </c>
      <c r="BV16" s="50">
        <f>BV15/11</f>
        <v>83.181818181818187</v>
      </c>
      <c r="BW16" s="50">
        <f>BW15/10</f>
        <v>94.5</v>
      </c>
      <c r="BX16" s="50">
        <f t="shared" si="17"/>
        <v>94.545454545454547</v>
      </c>
      <c r="BY16" s="50">
        <f>BY15/10</f>
        <v>80.7</v>
      </c>
      <c r="BZ16" s="50">
        <f t="shared" si="17"/>
        <v>82.545454545454547</v>
      </c>
      <c r="CA16" s="50">
        <f t="shared" si="17"/>
        <v>56</v>
      </c>
      <c r="CB16" s="50">
        <f t="shared" si="17"/>
        <v>91.090909090909093</v>
      </c>
      <c r="CC16" s="50">
        <f t="shared" si="17"/>
        <v>88.727272727272734</v>
      </c>
      <c r="CD16" s="50">
        <f t="shared" si="17"/>
        <v>0</v>
      </c>
      <c r="CE16" s="50">
        <f t="shared" si="17"/>
        <v>0</v>
      </c>
      <c r="CF16" s="50">
        <f t="shared" si="17"/>
        <v>0</v>
      </c>
      <c r="CG16" s="50">
        <f t="shared" si="17"/>
        <v>0</v>
      </c>
      <c r="CH16" s="50">
        <f t="shared" si="17"/>
        <v>0</v>
      </c>
      <c r="CI16" s="50">
        <f t="shared" si="17"/>
        <v>0</v>
      </c>
      <c r="CJ16" s="50">
        <f t="shared" si="17"/>
        <v>0</v>
      </c>
      <c r="CK16" s="50">
        <f t="shared" si="17"/>
        <v>0</v>
      </c>
      <c r="CL16" s="50">
        <f t="shared" si="17"/>
        <v>0</v>
      </c>
      <c r="CM16" s="50">
        <f t="shared" si="17"/>
        <v>0</v>
      </c>
      <c r="CN16" s="50">
        <f t="shared" si="17"/>
        <v>0</v>
      </c>
      <c r="CO16" s="50">
        <f t="shared" si="17"/>
        <v>0</v>
      </c>
      <c r="CP16" s="50">
        <f t="shared" si="17"/>
        <v>0</v>
      </c>
      <c r="CQ16" s="50">
        <f t="shared" si="17"/>
        <v>0</v>
      </c>
      <c r="CR16" s="50">
        <f t="shared" si="17"/>
        <v>0</v>
      </c>
      <c r="CS16" s="50">
        <f t="shared" si="17"/>
        <v>0</v>
      </c>
      <c r="CT16" s="50">
        <f t="shared" si="17"/>
        <v>0</v>
      </c>
      <c r="CU16" s="50">
        <f t="shared" si="17"/>
        <v>0</v>
      </c>
      <c r="CV16" s="50">
        <f t="shared" si="17"/>
        <v>0</v>
      </c>
      <c r="CW16" s="50">
        <f t="shared" si="17"/>
        <v>0</v>
      </c>
      <c r="CX16" s="50">
        <f t="shared" si="17"/>
        <v>0</v>
      </c>
    </row>
    <row r="17" spans="2:102" ht="16.5" x14ac:dyDescent="0.25">
      <c r="B17" s="263" t="s">
        <v>7</v>
      </c>
      <c r="C17" s="263"/>
      <c r="D17" s="263"/>
      <c r="E17" s="263"/>
      <c r="F17" s="51">
        <v>12</v>
      </c>
      <c r="G17" s="51">
        <v>12</v>
      </c>
      <c r="H17" s="51">
        <v>12</v>
      </c>
      <c r="I17" s="51">
        <v>12</v>
      </c>
      <c r="J17" s="51">
        <v>12</v>
      </c>
      <c r="K17" s="51">
        <v>24</v>
      </c>
      <c r="L17" s="51">
        <v>24</v>
      </c>
      <c r="M17" s="51">
        <v>24</v>
      </c>
      <c r="N17" s="51">
        <v>24</v>
      </c>
      <c r="O17" s="51">
        <v>24</v>
      </c>
      <c r="P17" s="51">
        <v>48</v>
      </c>
      <c r="Q17" s="51">
        <v>48</v>
      </c>
      <c r="R17" s="51">
        <v>48</v>
      </c>
      <c r="S17" s="51">
        <v>48</v>
      </c>
      <c r="T17" s="51">
        <v>48</v>
      </c>
      <c r="U17" s="51">
        <v>60</v>
      </c>
      <c r="V17" s="51">
        <v>60</v>
      </c>
      <c r="W17" s="51">
        <v>60</v>
      </c>
      <c r="X17" s="51">
        <v>60</v>
      </c>
      <c r="Y17" s="51">
        <v>60</v>
      </c>
      <c r="Z17" s="51">
        <v>72</v>
      </c>
      <c r="AA17" s="51">
        <v>72</v>
      </c>
      <c r="AB17" s="51">
        <v>72</v>
      </c>
      <c r="AC17" s="51">
        <v>72</v>
      </c>
      <c r="AD17" s="51">
        <v>72</v>
      </c>
      <c r="AE17" s="51">
        <v>84</v>
      </c>
      <c r="AF17" s="51">
        <v>84</v>
      </c>
      <c r="AG17" s="51">
        <v>84</v>
      </c>
      <c r="AH17" s="51">
        <v>84</v>
      </c>
      <c r="AI17" s="51">
        <v>84</v>
      </c>
      <c r="AJ17" s="51">
        <v>84</v>
      </c>
      <c r="AK17" s="51">
        <v>108</v>
      </c>
      <c r="AL17" s="51">
        <v>108</v>
      </c>
      <c r="AM17" s="51">
        <v>108</v>
      </c>
      <c r="AN17" s="51">
        <v>108</v>
      </c>
      <c r="AO17" s="51">
        <v>108</v>
      </c>
      <c r="AP17" s="51">
        <v>120</v>
      </c>
      <c r="AQ17" s="51">
        <v>120</v>
      </c>
      <c r="AR17" s="51">
        <v>120</v>
      </c>
      <c r="AS17" s="51">
        <v>120</v>
      </c>
      <c r="AT17" s="51">
        <v>120</v>
      </c>
      <c r="AU17" s="51">
        <v>120</v>
      </c>
      <c r="AV17" s="51">
        <v>120</v>
      </c>
      <c r="AW17" s="51">
        <v>120</v>
      </c>
      <c r="AX17" s="51">
        <v>120</v>
      </c>
      <c r="AY17" s="51">
        <v>120</v>
      </c>
      <c r="AZ17" s="51">
        <v>120</v>
      </c>
      <c r="BA17" s="51">
        <v>120</v>
      </c>
      <c r="BB17" s="51">
        <v>120</v>
      </c>
      <c r="BC17" s="51">
        <v>120</v>
      </c>
      <c r="BD17" s="51">
        <v>120</v>
      </c>
      <c r="BE17" s="51">
        <v>120</v>
      </c>
      <c r="BF17" s="51">
        <v>120</v>
      </c>
      <c r="BG17" s="51">
        <v>120</v>
      </c>
      <c r="BH17" s="51">
        <v>120</v>
      </c>
      <c r="BI17" s="51">
        <v>120</v>
      </c>
      <c r="BJ17" s="51">
        <v>120</v>
      </c>
      <c r="BK17" s="51">
        <v>120</v>
      </c>
      <c r="BL17" s="51">
        <v>120</v>
      </c>
      <c r="BM17" s="51">
        <v>120</v>
      </c>
      <c r="BN17" s="51">
        <v>120</v>
      </c>
      <c r="BO17" s="51">
        <v>120</v>
      </c>
      <c r="BP17" s="51">
        <v>120</v>
      </c>
      <c r="BQ17" s="51">
        <v>120</v>
      </c>
      <c r="BR17" s="51">
        <v>120</v>
      </c>
      <c r="BS17" s="51">
        <v>120</v>
      </c>
      <c r="BT17" s="51">
        <v>120</v>
      </c>
      <c r="BU17" s="51">
        <v>120</v>
      </c>
      <c r="BV17" s="51">
        <v>120</v>
      </c>
      <c r="BW17" s="51">
        <v>120</v>
      </c>
      <c r="BX17" s="51">
        <v>120</v>
      </c>
      <c r="BY17" s="51">
        <v>120</v>
      </c>
      <c r="BZ17" s="51">
        <v>120</v>
      </c>
      <c r="CA17" s="51">
        <v>120</v>
      </c>
      <c r="CB17" s="51">
        <v>120</v>
      </c>
      <c r="CC17" s="51">
        <v>120</v>
      </c>
      <c r="CD17" s="51">
        <v>120</v>
      </c>
      <c r="CE17" s="51">
        <v>120</v>
      </c>
      <c r="CF17" s="51">
        <v>120</v>
      </c>
      <c r="CG17" s="51">
        <v>120</v>
      </c>
      <c r="CH17" s="51">
        <v>120</v>
      </c>
      <c r="CI17" s="51">
        <v>120</v>
      </c>
      <c r="CJ17" s="51">
        <v>120</v>
      </c>
      <c r="CK17" s="51">
        <v>120</v>
      </c>
      <c r="CL17" s="51">
        <v>120</v>
      </c>
      <c r="CM17" s="51">
        <v>120</v>
      </c>
      <c r="CN17" s="51">
        <v>120</v>
      </c>
      <c r="CO17" s="51">
        <v>120</v>
      </c>
      <c r="CP17" s="51">
        <v>120</v>
      </c>
      <c r="CQ17" s="51">
        <v>120</v>
      </c>
      <c r="CR17" s="51">
        <v>120</v>
      </c>
      <c r="CS17" s="51">
        <v>120</v>
      </c>
      <c r="CT17" s="51">
        <v>120</v>
      </c>
      <c r="CU17" s="51">
        <v>120</v>
      </c>
      <c r="CV17" s="51">
        <v>120</v>
      </c>
      <c r="CW17" s="51">
        <v>120</v>
      </c>
      <c r="CX17" s="51">
        <v>120</v>
      </c>
    </row>
    <row r="18" spans="2:102" ht="16.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</row>
    <row r="19" spans="2:102" ht="16.5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</row>
    <row r="20" spans="2:102" ht="16.5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</row>
    <row r="21" spans="2:102" ht="16.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</row>
    <row r="22" spans="2:102" ht="16.5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</row>
    <row r="23" spans="2:102" ht="16.5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</row>
    <row r="24" spans="2:102" ht="16.5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</row>
    <row r="25" spans="2:102" ht="16.5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</row>
    <row r="26" spans="2:102" ht="16.5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</row>
    <row r="27" spans="2:102" ht="16.5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</row>
    <row r="28" spans="2:102" ht="16.5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</row>
    <row r="30" spans="2:102" ht="16.5" hidden="1" customHeight="1" x14ac:dyDescent="0.25"/>
    <row r="31" spans="2:102" ht="16.5" hidden="1" customHeight="1" x14ac:dyDescent="0.25"/>
    <row r="32" spans="2:102" ht="16.5" hidden="1" customHeight="1" x14ac:dyDescent="0.25"/>
    <row r="33" ht="16.5" hidden="1" customHeight="1" x14ac:dyDescent="0.25"/>
    <row r="34" ht="16.5" hidden="1" customHeight="1" x14ac:dyDescent="0.25"/>
    <row r="35" ht="16.5" hidden="1" customHeight="1" x14ac:dyDescent="0.25"/>
    <row r="36" ht="16.5" hidden="1" customHeight="1" x14ac:dyDescent="0.25"/>
    <row r="37" ht="16.5" hidden="1" customHeight="1" x14ac:dyDescent="0.25"/>
    <row r="38" ht="16.5" hidden="1" customHeight="1" x14ac:dyDescent="0.25"/>
    <row r="39" ht="16.5" hidden="1" customHeight="1" x14ac:dyDescent="0.25"/>
    <row r="40" ht="16.5" hidden="1" customHeight="1" x14ac:dyDescent="0.25"/>
    <row r="41" ht="16.5" hidden="1" customHeight="1" x14ac:dyDescent="0.25"/>
    <row r="42" ht="16.5" hidden="1" customHeight="1" x14ac:dyDescent="0.25"/>
    <row r="45" ht="15" hidden="1" customHeight="1" x14ac:dyDescent="0.25"/>
    <row r="46" ht="15" hidden="1" customHeight="1" x14ac:dyDescent="0.25"/>
    <row r="47" ht="15" hidden="1" customHeight="1" x14ac:dyDescent="0.25"/>
    <row r="48" ht="15" hidden="1" customHeight="1" x14ac:dyDescent="0.25"/>
    <row r="49" ht="15" hidden="1" customHeight="1" x14ac:dyDescent="0.25"/>
    <row r="50" ht="15" hidden="1" customHeight="1" x14ac:dyDescent="0.25"/>
    <row r="51" ht="15" hidden="1" customHeight="1" x14ac:dyDescent="0.25"/>
    <row r="52" ht="15" hidden="1" customHeight="1" x14ac:dyDescent="0.25"/>
    <row r="53" ht="15" hidden="1" customHeight="1" x14ac:dyDescent="0.25"/>
    <row r="54" ht="15" hidden="1" customHeight="1" x14ac:dyDescent="0.25"/>
    <row r="55" ht="15" hidden="1" customHeight="1" x14ac:dyDescent="0.25"/>
    <row r="56" ht="15" hidden="1" customHeight="1" x14ac:dyDescent="0.25"/>
    <row r="57" ht="15" hidden="1" customHeight="1" x14ac:dyDescent="0.25"/>
    <row r="58" ht="15" hidden="1" customHeight="1" x14ac:dyDescent="0.25"/>
    <row r="59" ht="15" hidden="1" customHeight="1" x14ac:dyDescent="0.25"/>
    <row r="60" ht="15" hidden="1" customHeight="1" x14ac:dyDescent="0.25"/>
  </sheetData>
  <mergeCells count="19">
    <mergeCell ref="AB6:CX6"/>
    <mergeCell ref="E6:E8"/>
    <mergeCell ref="B1:U2"/>
    <mergeCell ref="B4:C4"/>
    <mergeCell ref="D9:D10"/>
    <mergeCell ref="C9:C10"/>
    <mergeCell ref="B9:B10"/>
    <mergeCell ref="B6:B8"/>
    <mergeCell ref="C6:D7"/>
    <mergeCell ref="B17:E17"/>
    <mergeCell ref="B11:B12"/>
    <mergeCell ref="C11:C12"/>
    <mergeCell ref="D11:D12"/>
    <mergeCell ref="B15:B16"/>
    <mergeCell ref="C15:C16"/>
    <mergeCell ref="D15:D16"/>
    <mergeCell ref="B13:B14"/>
    <mergeCell ref="C13:C14"/>
    <mergeCell ref="D13:D14"/>
  </mergeCells>
  <conditionalFormatting sqref="F11:J11 F9:J9 F13:J13 L9:N9 F15:U15 L11:T11 P9:T9 L13:T13 AN11:AU11 AR9:AU9 AN13:AU13 AM15:AV15">
    <cfRule type="containsBlanks" dxfId="485" priority="104">
      <formula>LEN(TRIM(F9))=0</formula>
    </cfRule>
  </conditionalFormatting>
  <conditionalFormatting sqref="U11">
    <cfRule type="containsBlanks" dxfId="484" priority="103">
      <formula>LEN(TRIM(U11))=0</formula>
    </cfRule>
  </conditionalFormatting>
  <conditionalFormatting sqref="U9">
    <cfRule type="containsBlanks" dxfId="483" priority="101">
      <formula>LEN(TRIM(U9))=0</formula>
    </cfRule>
  </conditionalFormatting>
  <conditionalFormatting sqref="O9">
    <cfRule type="containsBlanks" dxfId="482" priority="95">
      <formula>LEN(TRIM(O9))=0</formula>
    </cfRule>
  </conditionalFormatting>
  <conditionalFormatting sqref="U13">
    <cfRule type="containsBlanks" dxfId="481" priority="92">
      <formula>LEN(TRIM(U13))=0</formula>
    </cfRule>
  </conditionalFormatting>
  <conditionalFormatting sqref="K9">
    <cfRule type="containsBlanks" dxfId="480" priority="85">
      <formula>LEN(TRIM(K9))=0</formula>
    </cfRule>
  </conditionalFormatting>
  <conditionalFormatting sqref="K11">
    <cfRule type="containsBlanks" dxfId="479" priority="83">
      <formula>LEN(TRIM(K11))=0</formula>
    </cfRule>
  </conditionalFormatting>
  <conditionalFormatting sqref="K13">
    <cfRule type="containsBlanks" dxfId="478" priority="81">
      <formula>LEN(TRIM(K13))=0</formula>
    </cfRule>
  </conditionalFormatting>
  <conditionalFormatting sqref="V15">
    <cfRule type="containsBlanks" dxfId="477" priority="80">
      <formula>LEN(TRIM(V15))=0</formula>
    </cfRule>
  </conditionalFormatting>
  <conditionalFormatting sqref="V11">
    <cfRule type="containsBlanks" dxfId="476" priority="79">
      <formula>LEN(TRIM(V11))=0</formula>
    </cfRule>
  </conditionalFormatting>
  <conditionalFormatting sqref="V9">
    <cfRule type="containsBlanks" dxfId="475" priority="78">
      <formula>LEN(TRIM(V9))=0</formula>
    </cfRule>
  </conditionalFormatting>
  <conditionalFormatting sqref="V13">
    <cfRule type="containsBlanks" dxfId="474" priority="77">
      <formula>LEN(TRIM(V13))=0</formula>
    </cfRule>
  </conditionalFormatting>
  <conditionalFormatting sqref="W11:AA11 W9:AA9 W13:AA13 AC9:AE9 AC11:AK11 AG9:AK9 AC13:AK13 W15:AL15">
    <cfRule type="containsBlanks" dxfId="473" priority="64">
      <formula>LEN(TRIM(W9))=0</formula>
    </cfRule>
  </conditionalFormatting>
  <conditionalFormatting sqref="AL11">
    <cfRule type="containsBlanks" dxfId="472" priority="63">
      <formula>LEN(TRIM(AL11))=0</formula>
    </cfRule>
  </conditionalFormatting>
  <conditionalFormatting sqref="AL9">
    <cfRule type="containsBlanks" dxfId="471" priority="62">
      <formula>LEN(TRIM(AL9))=0</formula>
    </cfRule>
  </conditionalFormatting>
  <conditionalFormatting sqref="AF9">
    <cfRule type="containsBlanks" dxfId="470" priority="61">
      <formula>LEN(TRIM(AF9))=0</formula>
    </cfRule>
  </conditionalFormatting>
  <conditionalFormatting sqref="AL13">
    <cfRule type="containsBlanks" dxfId="469" priority="60">
      <formula>LEN(TRIM(AL13))=0</formula>
    </cfRule>
  </conditionalFormatting>
  <conditionalFormatting sqref="AB9">
    <cfRule type="containsBlanks" dxfId="468" priority="59">
      <formula>LEN(TRIM(AB9))=0</formula>
    </cfRule>
  </conditionalFormatting>
  <conditionalFormatting sqref="AB11">
    <cfRule type="containsBlanks" dxfId="467" priority="58">
      <formula>LEN(TRIM(AB11))=0</formula>
    </cfRule>
  </conditionalFormatting>
  <conditionalFormatting sqref="AB13">
    <cfRule type="containsBlanks" dxfId="466" priority="57">
      <formula>LEN(TRIM(AB13))=0</formula>
    </cfRule>
  </conditionalFormatting>
  <conditionalFormatting sqref="AV13">
    <cfRule type="containsBlanks" dxfId="465" priority="48">
      <formula>LEN(TRIM(AV13))=0</formula>
    </cfRule>
  </conditionalFormatting>
  <conditionalFormatting sqref="AM9">
    <cfRule type="containsBlanks" dxfId="464" priority="47">
      <formula>LEN(TRIM(AM9))=0</formula>
    </cfRule>
  </conditionalFormatting>
  <conditionalFormatting sqref="AM11">
    <cfRule type="containsBlanks" dxfId="463" priority="46">
      <formula>LEN(TRIM(AM11))=0</formula>
    </cfRule>
  </conditionalFormatting>
  <conditionalFormatting sqref="AM13">
    <cfRule type="containsBlanks" dxfId="462" priority="45">
      <formula>LEN(TRIM(AM13))=0</formula>
    </cfRule>
  </conditionalFormatting>
  <conditionalFormatting sqref="AN9:AP9">
    <cfRule type="containsBlanks" dxfId="461" priority="52">
      <formula>LEN(TRIM(AN9))=0</formula>
    </cfRule>
  </conditionalFormatting>
  <conditionalFormatting sqref="AV11">
    <cfRule type="containsBlanks" dxfId="460" priority="51">
      <formula>LEN(TRIM(AV11))=0</formula>
    </cfRule>
  </conditionalFormatting>
  <conditionalFormatting sqref="AV9">
    <cfRule type="containsBlanks" dxfId="459" priority="50">
      <formula>LEN(TRIM(AV9))=0</formula>
    </cfRule>
  </conditionalFormatting>
  <conditionalFormatting sqref="AQ9">
    <cfRule type="containsBlanks" dxfId="458" priority="49">
      <formula>LEN(TRIM(AQ9))=0</formula>
    </cfRule>
  </conditionalFormatting>
  <conditionalFormatting sqref="BI11:BO11 BM9:BO9 BI13:BO13 BH15:BO15">
    <cfRule type="containsBlanks" dxfId="457" priority="44">
      <formula>LEN(TRIM(BH9))=0</formula>
    </cfRule>
  </conditionalFormatting>
  <conditionalFormatting sqref="AX11:BF11 BB9:BF9 AX13:BF13 AW15:BG15 AX9:AZ9">
    <cfRule type="containsBlanks" dxfId="456" priority="43">
      <formula>LEN(TRIM(AW9))=0</formula>
    </cfRule>
  </conditionalFormatting>
  <conditionalFormatting sqref="BG11">
    <cfRule type="containsBlanks" dxfId="455" priority="42">
      <formula>LEN(TRIM(BG11))=0</formula>
    </cfRule>
  </conditionalFormatting>
  <conditionalFormatting sqref="BG9">
    <cfRule type="containsBlanks" dxfId="454" priority="41">
      <formula>LEN(TRIM(BG9))=0</formula>
    </cfRule>
  </conditionalFormatting>
  <conditionalFormatting sqref="BA9">
    <cfRule type="containsBlanks" dxfId="453" priority="40">
      <formula>LEN(TRIM(BA9))=0</formula>
    </cfRule>
  </conditionalFormatting>
  <conditionalFormatting sqref="BG13">
    <cfRule type="containsBlanks" dxfId="452" priority="39">
      <formula>LEN(TRIM(BG13))=0</formula>
    </cfRule>
  </conditionalFormatting>
  <conditionalFormatting sqref="AW9">
    <cfRule type="containsBlanks" dxfId="451" priority="38">
      <formula>LEN(TRIM(AW9))=0</formula>
    </cfRule>
  </conditionalFormatting>
  <conditionalFormatting sqref="AW11">
    <cfRule type="containsBlanks" dxfId="450" priority="37">
      <formula>LEN(TRIM(AW11))=0</formula>
    </cfRule>
  </conditionalFormatting>
  <conditionalFormatting sqref="AW13">
    <cfRule type="containsBlanks" dxfId="449" priority="36">
      <formula>LEN(TRIM(AW13))=0</formula>
    </cfRule>
  </conditionalFormatting>
  <conditionalFormatting sqref="BH9">
    <cfRule type="containsBlanks" dxfId="448" priority="33">
      <formula>LEN(TRIM(BH9))=0</formula>
    </cfRule>
  </conditionalFormatting>
  <conditionalFormatting sqref="BH11">
    <cfRule type="containsBlanks" dxfId="447" priority="32">
      <formula>LEN(TRIM(BH11))=0</formula>
    </cfRule>
  </conditionalFormatting>
  <conditionalFormatting sqref="BH13">
    <cfRule type="containsBlanks" dxfId="446" priority="31">
      <formula>LEN(TRIM(BH13))=0</formula>
    </cfRule>
  </conditionalFormatting>
  <conditionalFormatting sqref="BI9:BK9">
    <cfRule type="containsBlanks" dxfId="445" priority="35">
      <formula>LEN(TRIM(BI9))=0</formula>
    </cfRule>
  </conditionalFormatting>
  <conditionalFormatting sqref="BL9">
    <cfRule type="containsBlanks" dxfId="444" priority="34">
      <formula>LEN(TRIM(BL9))=0</formula>
    </cfRule>
  </conditionalFormatting>
  <conditionalFormatting sqref="CB11:CI11 CF9:CI9 CB13:CI13 CA15:CJ15">
    <cfRule type="containsBlanks" dxfId="443" priority="30">
      <formula>LEN(TRIM(CA9))=0</formula>
    </cfRule>
  </conditionalFormatting>
  <conditionalFormatting sqref="BQ9:BS9 BQ11:BY11 BU9:BY9 BQ13:BY13 BP15:BZ15">
    <cfRule type="containsBlanks" dxfId="442" priority="29">
      <formula>LEN(TRIM(BP9))=0</formula>
    </cfRule>
  </conditionalFormatting>
  <conditionalFormatting sqref="BZ11">
    <cfRule type="containsBlanks" dxfId="441" priority="28">
      <formula>LEN(TRIM(BZ11))=0</formula>
    </cfRule>
  </conditionalFormatting>
  <conditionalFormatting sqref="BZ9">
    <cfRule type="containsBlanks" dxfId="440" priority="27">
      <formula>LEN(TRIM(BZ9))=0</formula>
    </cfRule>
  </conditionalFormatting>
  <conditionalFormatting sqref="BT9">
    <cfRule type="containsBlanks" dxfId="439" priority="26">
      <formula>LEN(TRIM(BT9))=0</formula>
    </cfRule>
  </conditionalFormatting>
  <conditionalFormatting sqref="BZ13">
    <cfRule type="containsBlanks" dxfId="438" priority="25">
      <formula>LEN(TRIM(BZ13))=0</formula>
    </cfRule>
  </conditionalFormatting>
  <conditionalFormatting sqref="BP9">
    <cfRule type="containsBlanks" dxfId="437" priority="24">
      <formula>LEN(TRIM(BP9))=0</formula>
    </cfRule>
  </conditionalFormatting>
  <conditionalFormatting sqref="BP11">
    <cfRule type="containsBlanks" dxfId="436" priority="23">
      <formula>LEN(TRIM(BP11))=0</formula>
    </cfRule>
  </conditionalFormatting>
  <conditionalFormatting sqref="BP13">
    <cfRule type="containsBlanks" dxfId="435" priority="22">
      <formula>LEN(TRIM(BP13))=0</formula>
    </cfRule>
  </conditionalFormatting>
  <conditionalFormatting sqref="CJ13">
    <cfRule type="containsBlanks" dxfId="434" priority="17">
      <formula>LEN(TRIM(CJ13))=0</formula>
    </cfRule>
  </conditionalFormatting>
  <conditionalFormatting sqref="CA9">
    <cfRule type="containsBlanks" dxfId="433" priority="16">
      <formula>LEN(TRIM(CA9))=0</formula>
    </cfRule>
  </conditionalFormatting>
  <conditionalFormatting sqref="CA11">
    <cfRule type="containsBlanks" dxfId="432" priority="15">
      <formula>LEN(TRIM(CA11))=0</formula>
    </cfRule>
  </conditionalFormatting>
  <conditionalFormatting sqref="CA13">
    <cfRule type="containsBlanks" dxfId="431" priority="14">
      <formula>LEN(TRIM(CA13))=0</formula>
    </cfRule>
  </conditionalFormatting>
  <conditionalFormatting sqref="CB9:CD9">
    <cfRule type="containsBlanks" dxfId="430" priority="21">
      <formula>LEN(TRIM(CB9))=0</formula>
    </cfRule>
  </conditionalFormatting>
  <conditionalFormatting sqref="CJ11">
    <cfRule type="containsBlanks" dxfId="429" priority="20">
      <formula>LEN(TRIM(CJ11))=0</formula>
    </cfRule>
  </conditionalFormatting>
  <conditionalFormatting sqref="CJ9">
    <cfRule type="containsBlanks" dxfId="428" priority="19">
      <formula>LEN(TRIM(CJ9))=0</formula>
    </cfRule>
  </conditionalFormatting>
  <conditionalFormatting sqref="CE9">
    <cfRule type="containsBlanks" dxfId="427" priority="18">
      <formula>LEN(TRIM(CE9))=0</formula>
    </cfRule>
  </conditionalFormatting>
  <conditionalFormatting sqref="CW11:CX11 CW13:CX13 CV15:CX15">
    <cfRule type="containsBlanks" dxfId="426" priority="13">
      <formula>LEN(TRIM(CV11))=0</formula>
    </cfRule>
  </conditionalFormatting>
  <conditionalFormatting sqref="CL11:CT11 CP9:CT9 CL13:CT13 CK15:CU15 CL9:CN9">
    <cfRule type="containsBlanks" dxfId="425" priority="12">
      <formula>LEN(TRIM(CK9))=0</formula>
    </cfRule>
  </conditionalFormatting>
  <conditionalFormatting sqref="CU11">
    <cfRule type="containsBlanks" dxfId="424" priority="11">
      <formula>LEN(TRIM(CU11))=0</formula>
    </cfRule>
  </conditionalFormatting>
  <conditionalFormatting sqref="CU9">
    <cfRule type="containsBlanks" dxfId="423" priority="10">
      <formula>LEN(TRIM(CU9))=0</formula>
    </cfRule>
  </conditionalFormatting>
  <conditionalFormatting sqref="CO9">
    <cfRule type="containsBlanks" dxfId="422" priority="9">
      <formula>LEN(TRIM(CO9))=0</formula>
    </cfRule>
  </conditionalFormatting>
  <conditionalFormatting sqref="CU13">
    <cfRule type="containsBlanks" dxfId="421" priority="8">
      <formula>LEN(TRIM(CU13))=0</formula>
    </cfRule>
  </conditionalFormatting>
  <conditionalFormatting sqref="CK9">
    <cfRule type="containsBlanks" dxfId="420" priority="7">
      <formula>LEN(TRIM(CK9))=0</formula>
    </cfRule>
  </conditionalFormatting>
  <conditionalFormatting sqref="CK11">
    <cfRule type="containsBlanks" dxfId="419" priority="6">
      <formula>LEN(TRIM(CK11))=0</formula>
    </cfRule>
  </conditionalFormatting>
  <conditionalFormatting sqref="CK13">
    <cfRule type="containsBlanks" dxfId="418" priority="5">
      <formula>LEN(TRIM(CK13))=0</formula>
    </cfRule>
  </conditionalFormatting>
  <conditionalFormatting sqref="CV9">
    <cfRule type="containsBlanks" dxfId="417" priority="3">
      <formula>LEN(TRIM(CV9))=0</formula>
    </cfRule>
  </conditionalFormatting>
  <conditionalFormatting sqref="CV11">
    <cfRule type="containsBlanks" dxfId="416" priority="2">
      <formula>LEN(TRIM(CV11))=0</formula>
    </cfRule>
  </conditionalFormatting>
  <conditionalFormatting sqref="CV13">
    <cfRule type="containsBlanks" dxfId="415" priority="1">
      <formula>LEN(TRIM(CV13))=0</formula>
    </cfRule>
  </conditionalFormatting>
  <conditionalFormatting sqref="CW9:CX9">
    <cfRule type="containsBlanks" dxfId="414" priority="4">
      <formula>LEN(TRIM(CW9))=0</formula>
    </cfRule>
  </conditionalFormatting>
  <printOptions horizontalCentered="1" verticalCentered="1"/>
  <pageMargins left="0.2" right="0" top="0" bottom="0" header="0" footer="0"/>
  <pageSetup paperSize="9" scale="95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O60"/>
  <sheetViews>
    <sheetView showGridLines="0" zoomScale="85" zoomScaleNormal="85" workbookViewId="0">
      <selection activeCell="U13" sqref="U13"/>
    </sheetView>
  </sheetViews>
  <sheetFormatPr defaultRowHeight="15" x14ac:dyDescent="0.25"/>
  <cols>
    <col min="1" max="1" width="4" customWidth="1"/>
    <col min="2" max="2" width="26" customWidth="1"/>
    <col min="3" max="4" width="7.5703125" hidden="1" customWidth="1"/>
    <col min="5" max="5" width="27.28515625" customWidth="1"/>
    <col min="6" max="6" width="6.7109375" customWidth="1"/>
    <col min="7" max="7" width="6.5703125" customWidth="1"/>
    <col min="8" max="23" width="6.7109375" customWidth="1"/>
    <col min="24" max="24" width="7.7109375" customWidth="1"/>
    <col min="25" max="60" width="6.7109375" customWidth="1"/>
    <col min="61" max="61" width="6" customWidth="1"/>
    <col min="62" max="67" width="6.7109375" customWidth="1"/>
  </cols>
  <sheetData>
    <row r="1" spans="2:67" ht="16.5" customHeight="1" x14ac:dyDescent="0.3"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1"/>
    </row>
    <row r="2" spans="2:67" ht="40.5" customHeight="1" x14ac:dyDescent="0.3"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1"/>
    </row>
    <row r="3" spans="2:67" ht="21" customHeight="1" x14ac:dyDescent="0.3">
      <c r="B3" s="107"/>
      <c r="C3" s="107"/>
      <c r="D3" s="107"/>
      <c r="E3" s="107"/>
      <c r="F3" s="107"/>
      <c r="G3" s="107"/>
      <c r="H3" s="10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07"/>
      <c r="X3" s="107"/>
      <c r="Y3" s="107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2:67" s="2" customFormat="1" ht="18" x14ac:dyDescent="0.2">
      <c r="B4" s="301" t="s">
        <v>18</v>
      </c>
      <c r="C4" s="301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 t="s">
        <v>26</v>
      </c>
      <c r="AC4" s="33"/>
      <c r="AD4" s="33"/>
      <c r="AE4" s="33"/>
      <c r="AF4" s="33"/>
      <c r="AG4" s="33"/>
      <c r="AH4" s="33"/>
      <c r="AI4" s="33"/>
      <c r="AJ4" s="33"/>
      <c r="AQ4" s="33"/>
      <c r="AS4" s="2" t="s">
        <v>34</v>
      </c>
      <c r="AW4" s="33"/>
      <c r="AX4" s="33"/>
      <c r="AY4" s="33"/>
      <c r="BA4" s="33"/>
      <c r="BB4" s="33"/>
      <c r="BC4" s="33"/>
      <c r="BD4" s="33"/>
      <c r="BE4" s="33"/>
      <c r="BL4" s="33"/>
      <c r="BN4" s="33" t="s">
        <v>21</v>
      </c>
    </row>
    <row r="5" spans="2:67" ht="3" customHeigh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spans="2:67" s="2" customFormat="1" ht="23.25" customHeight="1" x14ac:dyDescent="0.2">
      <c r="B6" s="241" t="s">
        <v>0</v>
      </c>
      <c r="C6" s="241" t="s">
        <v>1</v>
      </c>
      <c r="D6" s="241"/>
      <c r="E6" s="241" t="s">
        <v>2</v>
      </c>
      <c r="F6" s="257" t="s">
        <v>16</v>
      </c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  <c r="U6" s="258"/>
      <c r="V6" s="258"/>
      <c r="W6" s="258"/>
      <c r="X6" s="258"/>
      <c r="Y6" s="258"/>
      <c r="Z6" s="258"/>
      <c r="AA6" s="258"/>
      <c r="AB6" s="258"/>
      <c r="AC6" s="258"/>
      <c r="AD6" s="258"/>
      <c r="AE6" s="258"/>
      <c r="AF6" s="258"/>
      <c r="AG6" s="258"/>
      <c r="AH6" s="258"/>
      <c r="AI6" s="258"/>
      <c r="AJ6" s="258"/>
      <c r="AK6" s="258"/>
      <c r="AL6" s="258"/>
      <c r="AM6" s="258"/>
      <c r="AN6" s="258"/>
      <c r="AO6" s="258"/>
      <c r="AP6" s="258"/>
      <c r="AQ6" s="258"/>
      <c r="AR6" s="258"/>
      <c r="AS6" s="258"/>
      <c r="AT6" s="258"/>
      <c r="AU6" s="258"/>
      <c r="AV6" s="258"/>
      <c r="AW6" s="258"/>
      <c r="AX6" s="258"/>
      <c r="AY6" s="258"/>
      <c r="AZ6" s="258"/>
      <c r="BA6" s="258"/>
      <c r="BB6" s="258"/>
      <c r="BC6" s="258"/>
      <c r="BD6" s="258"/>
      <c r="BE6" s="258"/>
      <c r="BF6" s="258"/>
      <c r="BG6" s="258"/>
      <c r="BH6" s="258"/>
      <c r="BI6" s="258"/>
      <c r="BJ6" s="258"/>
      <c r="BK6" s="258"/>
      <c r="BL6" s="258"/>
      <c r="BM6" s="258"/>
      <c r="BN6" s="258"/>
      <c r="BO6" s="259"/>
    </row>
    <row r="7" spans="2:67" s="2" customFormat="1" ht="23.25" customHeight="1" x14ac:dyDescent="0.2">
      <c r="B7" s="241"/>
      <c r="C7" s="241"/>
      <c r="D7" s="241"/>
      <c r="E7" s="241"/>
      <c r="F7" s="38">
        <v>1</v>
      </c>
      <c r="G7" s="38">
        <v>2</v>
      </c>
      <c r="H7" s="38">
        <v>3</v>
      </c>
      <c r="I7" s="38">
        <v>4</v>
      </c>
      <c r="J7" s="38">
        <v>5</v>
      </c>
      <c r="K7" s="38">
        <v>6</v>
      </c>
      <c r="L7" s="38">
        <f>1+K7</f>
        <v>7</v>
      </c>
      <c r="M7" s="38">
        <f>1+L7</f>
        <v>8</v>
      </c>
      <c r="N7" s="38">
        <f t="shared" ref="N7:BO7" si="0">1+M7</f>
        <v>9</v>
      </c>
      <c r="O7" s="38">
        <f t="shared" si="0"/>
        <v>10</v>
      </c>
      <c r="P7" s="38">
        <f t="shared" si="0"/>
        <v>11</v>
      </c>
      <c r="Q7" s="38">
        <f t="shared" si="0"/>
        <v>12</v>
      </c>
      <c r="R7" s="38">
        <f>1+Q7</f>
        <v>13</v>
      </c>
      <c r="S7" s="38">
        <f t="shared" si="0"/>
        <v>14</v>
      </c>
      <c r="T7" s="38">
        <f t="shared" si="0"/>
        <v>15</v>
      </c>
      <c r="U7" s="38">
        <f t="shared" si="0"/>
        <v>16</v>
      </c>
      <c r="V7" s="38">
        <f t="shared" si="0"/>
        <v>17</v>
      </c>
      <c r="W7" s="38">
        <f t="shared" si="0"/>
        <v>18</v>
      </c>
      <c r="X7" s="38">
        <f t="shared" si="0"/>
        <v>19</v>
      </c>
      <c r="Y7" s="38">
        <f t="shared" si="0"/>
        <v>20</v>
      </c>
      <c r="Z7" s="38">
        <f t="shared" si="0"/>
        <v>21</v>
      </c>
      <c r="AA7" s="38">
        <f t="shared" si="0"/>
        <v>22</v>
      </c>
      <c r="AB7" s="38">
        <f t="shared" si="0"/>
        <v>23</v>
      </c>
      <c r="AC7" s="38">
        <f t="shared" si="0"/>
        <v>24</v>
      </c>
      <c r="AD7" s="38">
        <f t="shared" si="0"/>
        <v>25</v>
      </c>
      <c r="AE7" s="38">
        <f t="shared" si="0"/>
        <v>26</v>
      </c>
      <c r="AF7" s="38">
        <f t="shared" si="0"/>
        <v>27</v>
      </c>
      <c r="AG7" s="38">
        <f t="shared" si="0"/>
        <v>28</v>
      </c>
      <c r="AH7" s="38">
        <f t="shared" si="0"/>
        <v>29</v>
      </c>
      <c r="AI7" s="38">
        <f t="shared" si="0"/>
        <v>30</v>
      </c>
      <c r="AJ7" s="38">
        <f t="shared" si="0"/>
        <v>31</v>
      </c>
      <c r="AK7" s="38">
        <f t="shared" si="0"/>
        <v>32</v>
      </c>
      <c r="AL7" s="38">
        <f t="shared" si="0"/>
        <v>33</v>
      </c>
      <c r="AM7" s="38">
        <f t="shared" si="0"/>
        <v>34</v>
      </c>
      <c r="AN7" s="38">
        <f t="shared" si="0"/>
        <v>35</v>
      </c>
      <c r="AO7" s="63">
        <f t="shared" si="0"/>
        <v>36</v>
      </c>
      <c r="AP7" s="30">
        <f t="shared" si="0"/>
        <v>37</v>
      </c>
      <c r="AQ7" s="30">
        <f t="shared" si="0"/>
        <v>38</v>
      </c>
      <c r="AR7" s="30">
        <f t="shared" si="0"/>
        <v>39</v>
      </c>
      <c r="AS7" s="30">
        <f t="shared" si="0"/>
        <v>40</v>
      </c>
      <c r="AT7" s="30">
        <f t="shared" si="0"/>
        <v>41</v>
      </c>
      <c r="AU7" s="30">
        <f t="shared" si="0"/>
        <v>42</v>
      </c>
      <c r="AV7" s="83">
        <f t="shared" si="0"/>
        <v>43</v>
      </c>
      <c r="AW7" s="79">
        <f t="shared" si="0"/>
        <v>44</v>
      </c>
      <c r="AX7" s="38">
        <f t="shared" si="0"/>
        <v>45</v>
      </c>
      <c r="AY7" s="38">
        <f t="shared" si="0"/>
        <v>46</v>
      </c>
      <c r="AZ7" s="38">
        <f t="shared" si="0"/>
        <v>47</v>
      </c>
      <c r="BA7" s="38">
        <f t="shared" si="0"/>
        <v>48</v>
      </c>
      <c r="BB7" s="38">
        <f t="shared" si="0"/>
        <v>49</v>
      </c>
      <c r="BC7" s="38">
        <f t="shared" si="0"/>
        <v>50</v>
      </c>
      <c r="BD7" s="38">
        <f t="shared" si="0"/>
        <v>51</v>
      </c>
      <c r="BE7" s="38">
        <f t="shared" si="0"/>
        <v>52</v>
      </c>
      <c r="BF7" s="38">
        <f t="shared" si="0"/>
        <v>53</v>
      </c>
      <c r="BG7" s="38">
        <f t="shared" si="0"/>
        <v>54</v>
      </c>
      <c r="BH7" s="38">
        <f t="shared" si="0"/>
        <v>55</v>
      </c>
      <c r="BI7" s="38">
        <f t="shared" si="0"/>
        <v>56</v>
      </c>
      <c r="BJ7" s="63">
        <f t="shared" si="0"/>
        <v>57</v>
      </c>
      <c r="BK7" s="30">
        <f t="shared" si="0"/>
        <v>58</v>
      </c>
      <c r="BL7" s="30">
        <f t="shared" si="0"/>
        <v>59</v>
      </c>
      <c r="BM7" s="30">
        <f t="shared" si="0"/>
        <v>60</v>
      </c>
      <c r="BN7" s="30">
        <f t="shared" si="0"/>
        <v>61</v>
      </c>
      <c r="BO7" s="30">
        <f t="shared" si="0"/>
        <v>62</v>
      </c>
    </row>
    <row r="8" spans="2:67" s="2" customFormat="1" ht="23.25" customHeight="1" x14ac:dyDescent="0.2">
      <c r="B8" s="241"/>
      <c r="C8" s="105" t="s">
        <v>4</v>
      </c>
      <c r="D8" s="105" t="s">
        <v>5</v>
      </c>
      <c r="E8" s="241"/>
      <c r="F8" s="39">
        <v>46115</v>
      </c>
      <c r="G8" s="39">
        <v>46116</v>
      </c>
      <c r="H8" s="39">
        <v>46118</v>
      </c>
      <c r="I8" s="39">
        <v>46119</v>
      </c>
      <c r="J8" s="39">
        <v>46120</v>
      </c>
      <c r="K8" s="39">
        <v>46121</v>
      </c>
      <c r="L8" s="39">
        <v>46122</v>
      </c>
      <c r="M8" s="39">
        <v>46123</v>
      </c>
      <c r="N8" s="39">
        <v>46125</v>
      </c>
      <c r="O8" s="39">
        <v>46126</v>
      </c>
      <c r="P8" s="39">
        <v>46127</v>
      </c>
      <c r="Q8" s="39">
        <v>46128</v>
      </c>
      <c r="R8" s="39">
        <v>46129</v>
      </c>
      <c r="S8" s="39">
        <v>46130</v>
      </c>
      <c r="T8" s="39">
        <v>46132</v>
      </c>
      <c r="U8" s="39">
        <v>46133</v>
      </c>
      <c r="V8" s="39">
        <v>46134</v>
      </c>
      <c r="W8" s="39">
        <v>46135</v>
      </c>
      <c r="X8" s="39">
        <v>46136</v>
      </c>
      <c r="Y8" s="39">
        <v>46137</v>
      </c>
      <c r="Z8" s="39">
        <v>46138</v>
      </c>
      <c r="AA8" s="39">
        <v>46139</v>
      </c>
      <c r="AB8" s="39">
        <v>46140</v>
      </c>
      <c r="AC8" s="39">
        <v>46141</v>
      </c>
      <c r="AD8" s="39">
        <v>46142</v>
      </c>
      <c r="AE8" s="39">
        <v>46143</v>
      </c>
      <c r="AF8" s="39">
        <v>46144</v>
      </c>
      <c r="AG8" s="39">
        <v>46145</v>
      </c>
      <c r="AH8" s="39">
        <v>46146</v>
      </c>
      <c r="AI8" s="39">
        <v>46147</v>
      </c>
      <c r="AJ8" s="39">
        <v>46148</v>
      </c>
      <c r="AK8" s="39">
        <v>46149</v>
      </c>
      <c r="AL8" s="39">
        <v>46150</v>
      </c>
      <c r="AM8" s="39">
        <v>46151</v>
      </c>
      <c r="AN8" s="39">
        <v>46152</v>
      </c>
      <c r="AO8" s="39">
        <v>46153</v>
      </c>
      <c r="AP8" s="39">
        <v>46154</v>
      </c>
      <c r="AQ8" s="39">
        <v>46155</v>
      </c>
      <c r="AR8" s="39">
        <v>46156</v>
      </c>
      <c r="AS8" s="39">
        <v>46157</v>
      </c>
      <c r="AT8" s="39">
        <v>46158</v>
      </c>
      <c r="AU8" s="39">
        <v>46159</v>
      </c>
      <c r="AV8" s="39">
        <v>46160</v>
      </c>
      <c r="AW8" s="39">
        <v>46161</v>
      </c>
      <c r="AX8" s="39">
        <v>46162</v>
      </c>
      <c r="AY8" s="39">
        <v>46163</v>
      </c>
      <c r="AZ8" s="39">
        <v>46164</v>
      </c>
      <c r="BA8" s="39">
        <v>46165</v>
      </c>
      <c r="BB8" s="39">
        <v>46166</v>
      </c>
      <c r="BC8" s="39">
        <v>46167</v>
      </c>
      <c r="BD8" s="39">
        <v>46168</v>
      </c>
      <c r="BE8" s="39">
        <v>46169</v>
      </c>
      <c r="BF8" s="39">
        <v>46170</v>
      </c>
      <c r="BG8" s="39">
        <v>46171</v>
      </c>
      <c r="BH8" s="39">
        <v>46172</v>
      </c>
      <c r="BI8" s="39">
        <v>46173</v>
      </c>
      <c r="BJ8" s="39">
        <v>46174</v>
      </c>
      <c r="BK8" s="39">
        <v>46175</v>
      </c>
      <c r="BL8" s="39">
        <v>46176</v>
      </c>
      <c r="BM8" s="39">
        <v>46177</v>
      </c>
      <c r="BN8" s="39">
        <v>46178</v>
      </c>
      <c r="BO8" s="39">
        <v>46179</v>
      </c>
    </row>
    <row r="9" spans="2:67" ht="23.25" customHeight="1" x14ac:dyDescent="0.25">
      <c r="B9" s="262" t="s">
        <v>12</v>
      </c>
      <c r="C9" s="262"/>
      <c r="D9" s="262"/>
      <c r="E9" s="106" t="s">
        <v>10</v>
      </c>
      <c r="F9" s="57">
        <v>1074</v>
      </c>
      <c r="G9" s="58">
        <v>576</v>
      </c>
      <c r="H9" s="58">
        <v>84</v>
      </c>
      <c r="I9" s="60">
        <v>240</v>
      </c>
      <c r="J9" s="58">
        <v>228</v>
      </c>
      <c r="K9" s="58">
        <v>198</v>
      </c>
      <c r="L9" s="60">
        <v>222</v>
      </c>
      <c r="M9" s="60">
        <v>222</v>
      </c>
      <c r="N9" s="24">
        <v>288</v>
      </c>
      <c r="O9" s="24">
        <v>384</v>
      </c>
      <c r="P9" s="24">
        <v>336</v>
      </c>
      <c r="Q9" s="58">
        <v>0</v>
      </c>
      <c r="R9" s="59">
        <v>132</v>
      </c>
      <c r="S9" s="58">
        <v>372</v>
      </c>
      <c r="T9" s="24">
        <v>0</v>
      </c>
      <c r="U9" s="24">
        <v>762</v>
      </c>
      <c r="V9" s="59"/>
      <c r="W9" s="57"/>
      <c r="X9" s="58"/>
      <c r="Y9" s="58"/>
      <c r="Z9" s="59"/>
      <c r="AA9" s="58"/>
      <c r="AB9" s="58"/>
      <c r="AC9" s="60"/>
      <c r="AD9" s="60"/>
      <c r="AE9" s="60"/>
      <c r="AF9" s="60"/>
      <c r="AG9" s="58"/>
      <c r="AH9" s="58"/>
      <c r="AI9" s="60"/>
      <c r="AJ9" s="58"/>
      <c r="AK9" s="60"/>
      <c r="AL9" s="60"/>
      <c r="AM9" s="58"/>
      <c r="AN9" s="60"/>
      <c r="AO9" s="64"/>
      <c r="AP9" s="10"/>
      <c r="AQ9" s="10"/>
      <c r="AR9" s="9"/>
      <c r="AS9" s="10"/>
      <c r="AT9" s="9"/>
      <c r="AU9" s="10"/>
      <c r="AV9" s="84"/>
      <c r="AW9" s="80"/>
      <c r="AX9" s="59"/>
      <c r="AY9" s="59"/>
      <c r="AZ9" s="60"/>
      <c r="BA9" s="60"/>
      <c r="BB9" s="58"/>
      <c r="BC9" s="58"/>
      <c r="BD9" s="60"/>
      <c r="BE9" s="58"/>
      <c r="BF9" s="60"/>
      <c r="BG9" s="60"/>
      <c r="BH9" s="58"/>
      <c r="BI9" s="60"/>
      <c r="BJ9" s="64"/>
      <c r="BK9" s="10"/>
      <c r="BL9" s="10"/>
      <c r="BM9" s="9"/>
      <c r="BN9" s="10"/>
      <c r="BO9" s="9"/>
    </row>
    <row r="10" spans="2:67" ht="23.25" customHeight="1" x14ac:dyDescent="0.25">
      <c r="B10" s="262"/>
      <c r="C10" s="262"/>
      <c r="D10" s="262"/>
      <c r="E10" s="106" t="s">
        <v>6</v>
      </c>
      <c r="F10" s="50">
        <f>+F9/10</f>
        <v>107.4</v>
      </c>
      <c r="G10" s="50">
        <f>+G9/10</f>
        <v>57.6</v>
      </c>
      <c r="H10" s="50">
        <f>+H9/10</f>
        <v>8.4</v>
      </c>
      <c r="I10" s="50">
        <f>I9/8</f>
        <v>30</v>
      </c>
      <c r="J10" s="50">
        <f>J9/8</f>
        <v>28.5</v>
      </c>
      <c r="K10" s="50">
        <f>K9/8</f>
        <v>24.75</v>
      </c>
      <c r="L10" s="50">
        <f>SUM(L9:L9)/8</f>
        <v>27.75</v>
      </c>
      <c r="M10" s="50">
        <f t="shared" ref="M10:S10" si="1">M9/8</f>
        <v>27.75</v>
      </c>
      <c r="N10" s="66">
        <f t="shared" si="1"/>
        <v>36</v>
      </c>
      <c r="O10" s="66">
        <f t="shared" si="1"/>
        <v>48</v>
      </c>
      <c r="P10" s="66">
        <f t="shared" si="1"/>
        <v>42</v>
      </c>
      <c r="Q10" s="66">
        <f t="shared" si="1"/>
        <v>0</v>
      </c>
      <c r="R10" s="66">
        <f t="shared" si="1"/>
        <v>16.5</v>
      </c>
      <c r="S10" s="66">
        <f t="shared" si="1"/>
        <v>46.5</v>
      </c>
      <c r="T10" s="66">
        <f>T9/10</f>
        <v>0</v>
      </c>
      <c r="U10" s="66">
        <f>U9/8</f>
        <v>95.25</v>
      </c>
      <c r="V10" s="66">
        <f>SUM(V9:V9)/8</f>
        <v>0</v>
      </c>
      <c r="W10" s="66">
        <f>+W9/8</f>
        <v>0</v>
      </c>
      <c r="X10" s="50">
        <f>+X9/8</f>
        <v>0</v>
      </c>
      <c r="Y10" s="50">
        <f>+Y9/8</f>
        <v>0</v>
      </c>
      <c r="Z10" s="50">
        <f>Z9/8</f>
        <v>0</v>
      </c>
      <c r="AA10" s="50">
        <f>AA9/8</f>
        <v>0</v>
      </c>
      <c r="AB10" s="50">
        <f>AB9/8</f>
        <v>0</v>
      </c>
      <c r="AC10" s="50">
        <f>AC9/9</f>
        <v>0</v>
      </c>
      <c r="AD10" s="50">
        <f>AD9/9</f>
        <v>0</v>
      </c>
      <c r="AE10" s="50">
        <f>AE9/9</f>
        <v>0</v>
      </c>
      <c r="AF10" s="50">
        <f>AF9/9</f>
        <v>0</v>
      </c>
      <c r="AG10" s="50">
        <f>AG9/9</f>
        <v>0</v>
      </c>
      <c r="AH10" s="50">
        <f>AH9/5</f>
        <v>0</v>
      </c>
      <c r="AI10" s="50">
        <f>AI9/9</f>
        <v>0</v>
      </c>
      <c r="AJ10" s="50">
        <f>AJ9/9</f>
        <v>0</v>
      </c>
      <c r="AK10" s="50">
        <f>AK9/9</f>
        <v>0</v>
      </c>
      <c r="AL10" s="50">
        <f>AL9/7</f>
        <v>0</v>
      </c>
      <c r="AM10" s="50">
        <f>AM9/9</f>
        <v>0</v>
      </c>
      <c r="AN10" s="50">
        <f>AN9/9</f>
        <v>0</v>
      </c>
      <c r="AO10" s="35">
        <f>AO9/9</f>
        <v>0</v>
      </c>
      <c r="AP10" s="11">
        <f>AP9/8</f>
        <v>0</v>
      </c>
      <c r="AQ10" s="11">
        <f>AQ9/9</f>
        <v>0</v>
      </c>
      <c r="AR10" s="11">
        <f>AR9/5</f>
        <v>0</v>
      </c>
      <c r="AS10" s="11">
        <f>AS9/9</f>
        <v>0</v>
      </c>
      <c r="AT10" s="11">
        <f>AT9/8</f>
        <v>0</v>
      </c>
      <c r="AU10" s="11">
        <f>AU9/8</f>
        <v>0</v>
      </c>
      <c r="AV10" s="85">
        <f>AV9/8</f>
        <v>0</v>
      </c>
      <c r="AW10" s="81">
        <f>AW9/8</f>
        <v>0</v>
      </c>
      <c r="AX10" s="81">
        <f>AX9/8</f>
        <v>0</v>
      </c>
      <c r="AY10" s="50">
        <f>AY9/9</f>
        <v>0</v>
      </c>
      <c r="AZ10" s="50">
        <f>AZ9/9</f>
        <v>0</v>
      </c>
      <c r="BA10" s="50">
        <f>BA9/8</f>
        <v>0</v>
      </c>
      <c r="BB10" s="50">
        <f>BB9/8</f>
        <v>0</v>
      </c>
      <c r="BC10" s="50">
        <f t="shared" ref="BC10:BO10" si="2">BC9/8</f>
        <v>0</v>
      </c>
      <c r="BD10" s="50">
        <f t="shared" si="2"/>
        <v>0</v>
      </c>
      <c r="BE10" s="50">
        <f t="shared" si="2"/>
        <v>0</v>
      </c>
      <c r="BF10" s="50">
        <f t="shared" si="2"/>
        <v>0</v>
      </c>
      <c r="BG10" s="50">
        <f t="shared" si="2"/>
        <v>0</v>
      </c>
      <c r="BH10" s="50">
        <f t="shared" si="2"/>
        <v>0</v>
      </c>
      <c r="BI10" s="50">
        <f>BI9/7</f>
        <v>0</v>
      </c>
      <c r="BJ10" s="50">
        <f>BJ9/10</f>
        <v>0</v>
      </c>
      <c r="BK10" s="50">
        <f>BK9/10</f>
        <v>0</v>
      </c>
      <c r="BL10" s="50">
        <f t="shared" si="2"/>
        <v>0</v>
      </c>
      <c r="BM10" s="50">
        <f t="shared" si="2"/>
        <v>0</v>
      </c>
      <c r="BN10" s="50">
        <f t="shared" si="2"/>
        <v>0</v>
      </c>
      <c r="BO10" s="50">
        <f t="shared" si="2"/>
        <v>0</v>
      </c>
    </row>
    <row r="11" spans="2:67" s="12" customFormat="1" ht="23.25" customHeight="1" x14ac:dyDescent="0.25">
      <c r="B11" s="238" t="s">
        <v>9</v>
      </c>
      <c r="C11" s="262"/>
      <c r="D11" s="262"/>
      <c r="E11" s="106" t="str">
        <f>E9</f>
        <v>Output/Day</v>
      </c>
      <c r="F11" s="61">
        <v>0</v>
      </c>
      <c r="G11" s="61">
        <v>0</v>
      </c>
      <c r="H11" s="61">
        <v>0</v>
      </c>
      <c r="I11" s="69">
        <v>0</v>
      </c>
      <c r="J11" s="108">
        <v>108</v>
      </c>
      <c r="K11" s="108">
        <v>138</v>
      </c>
      <c r="L11" s="143">
        <v>132</v>
      </c>
      <c r="M11" s="69">
        <v>0</v>
      </c>
      <c r="N11" s="143">
        <v>276</v>
      </c>
      <c r="O11" s="143">
        <v>270</v>
      </c>
      <c r="P11" s="143">
        <v>222</v>
      </c>
      <c r="Q11" s="143">
        <v>276</v>
      </c>
      <c r="R11" s="143">
        <v>288</v>
      </c>
      <c r="S11" s="143">
        <v>354</v>
      </c>
      <c r="T11" s="143">
        <v>378</v>
      </c>
      <c r="U11" s="143">
        <v>228</v>
      </c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  <c r="BD11" s="143"/>
      <c r="BE11" s="143"/>
      <c r="BF11" s="143"/>
      <c r="BG11" s="143"/>
      <c r="BH11" s="143"/>
      <c r="BI11" s="143"/>
      <c r="BJ11" s="143"/>
      <c r="BK11" s="143"/>
      <c r="BL11" s="143"/>
      <c r="BM11" s="143"/>
      <c r="BN11" s="143"/>
      <c r="BO11" s="143"/>
    </row>
    <row r="12" spans="2:67" ht="23.25" customHeight="1" x14ac:dyDescent="0.25">
      <c r="B12" s="238"/>
      <c r="C12" s="262"/>
      <c r="D12" s="262"/>
      <c r="E12" s="106" t="s">
        <v>6</v>
      </c>
      <c r="F12" s="50">
        <f>SUM(F11:F11)/8</f>
        <v>0</v>
      </c>
      <c r="G12" s="50">
        <f>SUM(G11:G11)/8</f>
        <v>0</v>
      </c>
      <c r="H12" s="50">
        <f>H11/8</f>
        <v>0</v>
      </c>
      <c r="I12" s="50">
        <f>I11/8</f>
        <v>0</v>
      </c>
      <c r="J12" s="50">
        <f>J11/8</f>
        <v>13.5</v>
      </c>
      <c r="K12" s="50">
        <f>K11/8</f>
        <v>17.25</v>
      </c>
      <c r="L12" s="50">
        <f>SUM(L11:L11)/8</f>
        <v>16.5</v>
      </c>
      <c r="M12" s="50">
        <f>M11/8</f>
        <v>0</v>
      </c>
      <c r="N12" s="66">
        <f>N11/8</f>
        <v>34.5</v>
      </c>
      <c r="O12" s="66">
        <f>O11/8</f>
        <v>33.75</v>
      </c>
      <c r="P12" s="66">
        <f>P11/9</f>
        <v>24.666666666666668</v>
      </c>
      <c r="Q12" s="66">
        <f>Q11/9</f>
        <v>30.666666666666668</v>
      </c>
      <c r="R12" s="66">
        <f>R11/8</f>
        <v>36</v>
      </c>
      <c r="S12" s="66">
        <f>S11/8</f>
        <v>44.25</v>
      </c>
      <c r="T12" s="66">
        <f>T11/10</f>
        <v>37.799999999999997</v>
      </c>
      <c r="U12" s="66">
        <f>U11/9</f>
        <v>25.333333333333332</v>
      </c>
      <c r="V12" s="66">
        <f>V11/9</f>
        <v>0</v>
      </c>
      <c r="W12" s="66">
        <f>+W11/8</f>
        <v>0</v>
      </c>
      <c r="X12" s="50">
        <f>+X11/8</f>
        <v>0</v>
      </c>
      <c r="Y12" s="50">
        <f>+Y11/8</f>
        <v>0</v>
      </c>
      <c r="Z12" s="50">
        <f>Z11/8</f>
        <v>0</v>
      </c>
      <c r="AA12" s="50">
        <f>AA11/9</f>
        <v>0</v>
      </c>
      <c r="AB12" s="50">
        <f t="shared" ref="AB12:AG12" si="3">AB11/9</f>
        <v>0</v>
      </c>
      <c r="AC12" s="50">
        <f>AC11/9</f>
        <v>0</v>
      </c>
      <c r="AD12" s="50">
        <f>AD11/9</f>
        <v>0</v>
      </c>
      <c r="AE12" s="50">
        <f>AE11/9</f>
        <v>0</v>
      </c>
      <c r="AF12" s="50">
        <f t="shared" si="3"/>
        <v>0</v>
      </c>
      <c r="AG12" s="50">
        <f t="shared" si="3"/>
        <v>0</v>
      </c>
      <c r="AH12" s="50">
        <f>AH11/7</f>
        <v>0</v>
      </c>
      <c r="AI12" s="50">
        <f>AI11/10</f>
        <v>0</v>
      </c>
      <c r="AJ12" s="50">
        <f>AJ11/10</f>
        <v>0</v>
      </c>
      <c r="AK12" s="50">
        <f>AK11/9</f>
        <v>0</v>
      </c>
      <c r="AL12" s="50">
        <f>AL11/7</f>
        <v>0</v>
      </c>
      <c r="AM12" s="50">
        <f>AM11/10</f>
        <v>0</v>
      </c>
      <c r="AN12" s="50">
        <f>AN11/10</f>
        <v>0</v>
      </c>
      <c r="AO12" s="35">
        <f>AO11/10</f>
        <v>0</v>
      </c>
      <c r="AP12" s="11">
        <f>AP11/10</f>
        <v>0</v>
      </c>
      <c r="AQ12" s="11">
        <f>AQ11/10</f>
        <v>0</v>
      </c>
      <c r="AR12" s="11">
        <f>AR11/7</f>
        <v>0</v>
      </c>
      <c r="AS12" s="11">
        <f>AS11/10</f>
        <v>0</v>
      </c>
      <c r="AT12" s="11">
        <f>AT11/10</f>
        <v>0</v>
      </c>
      <c r="AU12" s="11">
        <f>AU11/10</f>
        <v>0</v>
      </c>
      <c r="AV12" s="85">
        <f>AV11/10</f>
        <v>0</v>
      </c>
      <c r="AW12" s="81">
        <f>AW11/10</f>
        <v>0</v>
      </c>
      <c r="AX12" s="81">
        <f t="shared" ref="AX12:BO12" si="4">AX11/10</f>
        <v>0</v>
      </c>
      <c r="AY12" s="81">
        <f t="shared" si="4"/>
        <v>0</v>
      </c>
      <c r="AZ12" s="81">
        <f t="shared" si="4"/>
        <v>0</v>
      </c>
      <c r="BA12" s="81">
        <f t="shared" si="4"/>
        <v>0</v>
      </c>
      <c r="BB12" s="81">
        <f t="shared" si="4"/>
        <v>0</v>
      </c>
      <c r="BC12" s="81">
        <f t="shared" si="4"/>
        <v>0</v>
      </c>
      <c r="BD12" s="81">
        <f t="shared" si="4"/>
        <v>0</v>
      </c>
      <c r="BE12" s="81">
        <f t="shared" si="4"/>
        <v>0</v>
      </c>
      <c r="BF12" s="81">
        <f t="shared" si="4"/>
        <v>0</v>
      </c>
      <c r="BG12" s="81">
        <f t="shared" si="4"/>
        <v>0</v>
      </c>
      <c r="BH12" s="81">
        <f t="shared" si="4"/>
        <v>0</v>
      </c>
      <c r="BI12" s="81">
        <f>BI11/10</f>
        <v>0</v>
      </c>
      <c r="BJ12" s="81">
        <f>BJ11/11</f>
        <v>0</v>
      </c>
      <c r="BK12" s="81">
        <f>BK11/11</f>
        <v>0</v>
      </c>
      <c r="BL12" s="81">
        <f t="shared" si="4"/>
        <v>0</v>
      </c>
      <c r="BM12" s="81">
        <f t="shared" si="4"/>
        <v>0</v>
      </c>
      <c r="BN12" s="81">
        <f t="shared" si="4"/>
        <v>0</v>
      </c>
      <c r="BO12" s="81">
        <f t="shared" si="4"/>
        <v>0</v>
      </c>
    </row>
    <row r="13" spans="2:67" s="12" customFormat="1" ht="23.25" customHeight="1" x14ac:dyDescent="0.25">
      <c r="B13" s="238" t="s">
        <v>8</v>
      </c>
      <c r="C13" s="262"/>
      <c r="D13" s="262"/>
      <c r="E13" s="106" t="str">
        <f>E9</f>
        <v>Output/Day</v>
      </c>
      <c r="F13" s="61">
        <v>0</v>
      </c>
      <c r="G13" s="61">
        <v>0</v>
      </c>
      <c r="H13" s="61">
        <v>0</v>
      </c>
      <c r="I13" s="69">
        <v>0</v>
      </c>
      <c r="J13" s="108">
        <v>840</v>
      </c>
      <c r="K13" s="108">
        <v>113</v>
      </c>
      <c r="L13" s="165">
        <v>161</v>
      </c>
      <c r="M13" s="69">
        <v>0</v>
      </c>
      <c r="N13" s="24">
        <v>270</v>
      </c>
      <c r="O13" s="24">
        <v>272</v>
      </c>
      <c r="P13" s="24">
        <v>281</v>
      </c>
      <c r="Q13" s="24">
        <v>270</v>
      </c>
      <c r="R13" s="24">
        <v>324</v>
      </c>
      <c r="S13" s="24">
        <v>360</v>
      </c>
      <c r="T13" s="24">
        <v>372</v>
      </c>
      <c r="U13" s="24">
        <v>336</v>
      </c>
      <c r="V13" s="24"/>
      <c r="W13" s="61"/>
      <c r="X13" s="61"/>
      <c r="Y13" s="61"/>
      <c r="Z13" s="108"/>
      <c r="AA13" s="108"/>
      <c r="AB13" s="108"/>
      <c r="AC13" s="108"/>
      <c r="AD13" s="108"/>
      <c r="AE13" s="108"/>
      <c r="AF13" s="61"/>
      <c r="AG13" s="61"/>
      <c r="AH13" s="61"/>
      <c r="AI13" s="108"/>
      <c r="AJ13" s="61"/>
      <c r="AK13" s="108"/>
      <c r="AL13" s="108"/>
      <c r="AM13" s="108"/>
      <c r="AN13" s="108"/>
      <c r="AO13" s="109"/>
      <c r="AP13" s="5"/>
      <c r="AQ13" s="6"/>
      <c r="AR13" s="6"/>
      <c r="AS13" s="5"/>
      <c r="AT13" s="6"/>
      <c r="AU13" s="5"/>
      <c r="AV13" s="86"/>
      <c r="AW13" s="82"/>
      <c r="AX13" s="108"/>
      <c r="AY13" s="108"/>
      <c r="AZ13" s="108"/>
      <c r="BA13" s="61"/>
      <c r="BB13" s="61"/>
      <c r="BC13" s="61"/>
      <c r="BD13" s="108"/>
      <c r="BE13" s="61"/>
      <c r="BF13" s="108"/>
      <c r="BG13" s="108"/>
      <c r="BH13" s="108"/>
      <c r="BI13" s="108"/>
      <c r="BJ13" s="109"/>
      <c r="BK13" s="5"/>
      <c r="BL13" s="6"/>
      <c r="BM13" s="6"/>
      <c r="BN13" s="5"/>
      <c r="BO13" s="6"/>
    </row>
    <row r="14" spans="2:67" ht="23.25" customHeight="1" x14ac:dyDescent="0.25">
      <c r="B14" s="238"/>
      <c r="C14" s="262"/>
      <c r="D14" s="262"/>
      <c r="E14" s="106" t="s">
        <v>6</v>
      </c>
      <c r="F14" s="50">
        <f>SUM(F13:F13)/8</f>
        <v>0</v>
      </c>
      <c r="G14" s="50">
        <f>SUM(G13:G13)/8</f>
        <v>0</v>
      </c>
      <c r="H14" s="50">
        <f>H13/8</f>
        <v>0</v>
      </c>
      <c r="I14" s="50">
        <f>I13/8</f>
        <v>0</v>
      </c>
      <c r="J14" s="50">
        <f>J13/8</f>
        <v>105</v>
      </c>
      <c r="K14" s="50">
        <f>K13/8</f>
        <v>14.125</v>
      </c>
      <c r="L14" s="50">
        <f>SUM(L13:L13)/8</f>
        <v>20.125</v>
      </c>
      <c r="M14" s="50">
        <f>M13/8</f>
        <v>0</v>
      </c>
      <c r="N14" s="66">
        <f>N13/8</f>
        <v>33.75</v>
      </c>
      <c r="O14" s="66">
        <f>O13/8</f>
        <v>34</v>
      </c>
      <c r="P14" s="66">
        <f>P13/9</f>
        <v>31.222222222222221</v>
      </c>
      <c r="Q14" s="66">
        <f>Q13/9</f>
        <v>30</v>
      </c>
      <c r="R14" s="66">
        <f>R13/8</f>
        <v>40.5</v>
      </c>
      <c r="S14" s="66">
        <f>S13/8</f>
        <v>45</v>
      </c>
      <c r="T14" s="66">
        <f>T13/9</f>
        <v>41.333333333333336</v>
      </c>
      <c r="U14" s="66">
        <f>U13/9</f>
        <v>37.333333333333336</v>
      </c>
      <c r="V14" s="66">
        <f>V13/9</f>
        <v>0</v>
      </c>
      <c r="W14" s="66">
        <f>+W13/9</f>
        <v>0</v>
      </c>
      <c r="X14" s="50">
        <f>+X13/8</f>
        <v>0</v>
      </c>
      <c r="Y14" s="50">
        <f>Y13/8</f>
        <v>0</v>
      </c>
      <c r="Z14" s="50">
        <f>Z13/8</f>
        <v>0</v>
      </c>
      <c r="AA14" s="50">
        <f>AA13/9</f>
        <v>0</v>
      </c>
      <c r="AB14" s="50">
        <f t="shared" ref="AB14:AG14" si="5">AB13/9</f>
        <v>0</v>
      </c>
      <c r="AC14" s="50">
        <f t="shared" si="5"/>
        <v>0</v>
      </c>
      <c r="AD14" s="50">
        <f t="shared" si="5"/>
        <v>0</v>
      </c>
      <c r="AE14" s="50">
        <f t="shared" si="5"/>
        <v>0</v>
      </c>
      <c r="AF14" s="50">
        <f t="shared" si="5"/>
        <v>0</v>
      </c>
      <c r="AG14" s="50">
        <f t="shared" si="5"/>
        <v>0</v>
      </c>
      <c r="AH14" s="50">
        <f>AH13/7</f>
        <v>0</v>
      </c>
      <c r="AI14" s="50">
        <f>AI13/10</f>
        <v>0</v>
      </c>
      <c r="AJ14" s="50">
        <f>AJ13/10</f>
        <v>0</v>
      </c>
      <c r="AK14" s="50">
        <f>AK13/9</f>
        <v>0</v>
      </c>
      <c r="AL14" s="50">
        <f>AL13/7</f>
        <v>0</v>
      </c>
      <c r="AM14" s="50">
        <f>AM13/10</f>
        <v>0</v>
      </c>
      <c r="AN14" s="50">
        <f>AN13/10</f>
        <v>0</v>
      </c>
      <c r="AO14" s="35">
        <f>AO13/10</f>
        <v>0</v>
      </c>
      <c r="AP14" s="11">
        <f>AP13/10</f>
        <v>0</v>
      </c>
      <c r="AQ14" s="11">
        <f>AQ13/10</f>
        <v>0</v>
      </c>
      <c r="AR14" s="11">
        <f>AR13/7</f>
        <v>0</v>
      </c>
      <c r="AS14" s="11">
        <f t="shared" ref="AS14:AY14" si="6">AS13/10</f>
        <v>0</v>
      </c>
      <c r="AT14" s="11">
        <f t="shared" si="6"/>
        <v>0</v>
      </c>
      <c r="AU14" s="11">
        <f t="shared" si="6"/>
        <v>0</v>
      </c>
      <c r="AV14" s="85">
        <f t="shared" si="6"/>
        <v>0</v>
      </c>
      <c r="AW14" s="81">
        <f t="shared" si="6"/>
        <v>0</v>
      </c>
      <c r="AX14" s="81">
        <f t="shared" si="6"/>
        <v>0</v>
      </c>
      <c r="AY14" s="81">
        <f t="shared" si="6"/>
        <v>0</v>
      </c>
      <c r="AZ14" s="50">
        <f>AZ13/10</f>
        <v>0</v>
      </c>
      <c r="BA14" s="50">
        <f>BA13/10</f>
        <v>0</v>
      </c>
      <c r="BB14" s="50">
        <f>BB13/10</f>
        <v>0</v>
      </c>
      <c r="BC14" s="50">
        <f t="shared" ref="BC14:BO14" si="7">BC13/10</f>
        <v>0</v>
      </c>
      <c r="BD14" s="50">
        <f t="shared" si="7"/>
        <v>0</v>
      </c>
      <c r="BE14" s="50">
        <f t="shared" si="7"/>
        <v>0</v>
      </c>
      <c r="BF14" s="50">
        <f t="shared" si="7"/>
        <v>0</v>
      </c>
      <c r="BG14" s="50">
        <f t="shared" si="7"/>
        <v>0</v>
      </c>
      <c r="BH14" s="50">
        <f t="shared" si="7"/>
        <v>0</v>
      </c>
      <c r="BI14" s="50">
        <f t="shared" si="7"/>
        <v>0</v>
      </c>
      <c r="BJ14" s="50">
        <f>BJ13/11</f>
        <v>0</v>
      </c>
      <c r="BK14" s="50">
        <f>BK13/11</f>
        <v>0</v>
      </c>
      <c r="BL14" s="50">
        <f t="shared" si="7"/>
        <v>0</v>
      </c>
      <c r="BM14" s="50">
        <f t="shared" si="7"/>
        <v>0</v>
      </c>
      <c r="BN14" s="50">
        <f t="shared" si="7"/>
        <v>0</v>
      </c>
      <c r="BO14" s="50">
        <f t="shared" si="7"/>
        <v>0</v>
      </c>
    </row>
    <row r="15" spans="2:67" s="13" customFormat="1" ht="23.25" customHeight="1" x14ac:dyDescent="0.3">
      <c r="B15" s="238" t="s">
        <v>13</v>
      </c>
      <c r="C15" s="262"/>
      <c r="D15" s="262"/>
      <c r="E15" s="49" t="str">
        <f>E9</f>
        <v>Output/Day</v>
      </c>
      <c r="F15" s="58">
        <v>0</v>
      </c>
      <c r="G15" s="58">
        <v>0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60"/>
      <c r="O15" s="58"/>
      <c r="P15" s="58"/>
      <c r="Q15" s="58"/>
      <c r="R15" s="60"/>
      <c r="S15" s="58"/>
      <c r="T15" s="60">
        <v>119</v>
      </c>
      <c r="U15" s="60">
        <v>534</v>
      </c>
      <c r="V15" s="60"/>
      <c r="W15" s="58"/>
      <c r="X15" s="58"/>
      <c r="Y15" s="58"/>
      <c r="Z15" s="58"/>
      <c r="AA15" s="58"/>
      <c r="AB15" s="58"/>
      <c r="AC15" s="58"/>
      <c r="AD15" s="68"/>
      <c r="AE15" s="68"/>
      <c r="AF15" s="67"/>
      <c r="AG15" s="67"/>
      <c r="AH15" s="67"/>
      <c r="AI15" s="68"/>
      <c r="AJ15" s="67"/>
      <c r="AK15" s="68"/>
      <c r="AL15" s="68"/>
      <c r="AM15" s="58"/>
      <c r="AN15" s="58"/>
      <c r="AO15" s="65"/>
      <c r="AP15" s="17"/>
      <c r="AQ15" s="70"/>
      <c r="AR15" s="18"/>
      <c r="AS15" s="17"/>
      <c r="AT15" s="70"/>
      <c r="AU15" s="17"/>
      <c r="AV15" s="87"/>
      <c r="AW15" s="80"/>
      <c r="AX15" s="58"/>
      <c r="AY15" s="68"/>
      <c r="AZ15" s="68"/>
      <c r="BA15" s="67"/>
      <c r="BB15" s="67"/>
      <c r="BC15" s="67"/>
      <c r="BD15" s="68"/>
      <c r="BE15" s="67"/>
      <c r="BF15" s="98"/>
      <c r="BG15" s="68"/>
      <c r="BH15" s="58"/>
      <c r="BI15" s="58"/>
      <c r="BJ15" s="65"/>
      <c r="BK15" s="17"/>
      <c r="BL15" s="70"/>
      <c r="BM15" s="18"/>
      <c r="BN15" s="74"/>
      <c r="BO15" s="44"/>
    </row>
    <row r="16" spans="2:67" ht="23.25" customHeight="1" x14ac:dyDescent="0.25">
      <c r="B16" s="238"/>
      <c r="C16" s="262"/>
      <c r="D16" s="262"/>
      <c r="E16" s="106" t="s">
        <v>6</v>
      </c>
      <c r="F16" s="50">
        <f>SUM(F15:F15)/8</f>
        <v>0</v>
      </c>
      <c r="G16" s="50">
        <f>SUM(G15:G15)/8</f>
        <v>0</v>
      </c>
      <c r="H16" s="50">
        <f>SUM(H15:H15)/8</f>
        <v>0</v>
      </c>
      <c r="I16" s="50">
        <f>I15/8</f>
        <v>0</v>
      </c>
      <c r="J16" s="50">
        <f>J15/8</f>
        <v>0</v>
      </c>
      <c r="K16" s="50">
        <f>K15/8</f>
        <v>0</v>
      </c>
      <c r="L16" s="50">
        <f t="shared" ref="L16:M16" si="8">SUM(L15:L15)/8</f>
        <v>0</v>
      </c>
      <c r="M16" s="50">
        <f t="shared" si="8"/>
        <v>0</v>
      </c>
      <c r="N16" s="66">
        <f>N15/8</f>
        <v>0</v>
      </c>
      <c r="O16" s="66">
        <f t="shared" ref="O16:BO16" si="9">O15/8</f>
        <v>0</v>
      </c>
      <c r="P16" s="66">
        <f t="shared" si="9"/>
        <v>0</v>
      </c>
      <c r="Q16" s="66">
        <f t="shared" si="9"/>
        <v>0</v>
      </c>
      <c r="R16" s="66">
        <f t="shared" si="9"/>
        <v>0</v>
      </c>
      <c r="S16" s="66">
        <f t="shared" si="9"/>
        <v>0</v>
      </c>
      <c r="T16" s="66">
        <f t="shared" si="9"/>
        <v>14.875</v>
      </c>
      <c r="U16" s="66">
        <f t="shared" si="9"/>
        <v>66.75</v>
      </c>
      <c r="V16" s="66">
        <f t="shared" si="9"/>
        <v>0</v>
      </c>
      <c r="W16" s="66">
        <f t="shared" si="9"/>
        <v>0</v>
      </c>
      <c r="X16" s="66">
        <f t="shared" si="9"/>
        <v>0</v>
      </c>
      <c r="Y16" s="66">
        <f t="shared" si="9"/>
        <v>0</v>
      </c>
      <c r="Z16" s="66">
        <f t="shared" si="9"/>
        <v>0</v>
      </c>
      <c r="AA16" s="66">
        <f t="shared" si="9"/>
        <v>0</v>
      </c>
      <c r="AB16" s="66">
        <f t="shared" si="9"/>
        <v>0</v>
      </c>
      <c r="AC16" s="66">
        <f t="shared" si="9"/>
        <v>0</v>
      </c>
      <c r="AD16" s="66">
        <f t="shared" si="9"/>
        <v>0</v>
      </c>
      <c r="AE16" s="66">
        <f t="shared" si="9"/>
        <v>0</v>
      </c>
      <c r="AF16" s="66">
        <f t="shared" si="9"/>
        <v>0</v>
      </c>
      <c r="AG16" s="66">
        <f t="shared" si="9"/>
        <v>0</v>
      </c>
      <c r="AH16" s="66">
        <f t="shared" si="9"/>
        <v>0</v>
      </c>
      <c r="AI16" s="66">
        <f t="shared" si="9"/>
        <v>0</v>
      </c>
      <c r="AJ16" s="66">
        <f t="shared" si="9"/>
        <v>0</v>
      </c>
      <c r="AK16" s="66">
        <f t="shared" si="9"/>
        <v>0</v>
      </c>
      <c r="AL16" s="66">
        <f t="shared" si="9"/>
        <v>0</v>
      </c>
      <c r="AM16" s="66">
        <f t="shared" si="9"/>
        <v>0</v>
      </c>
      <c r="AN16" s="66">
        <f t="shared" si="9"/>
        <v>0</v>
      </c>
      <c r="AO16" s="66">
        <f t="shared" si="9"/>
        <v>0</v>
      </c>
      <c r="AP16" s="66">
        <f t="shared" si="9"/>
        <v>0</v>
      </c>
      <c r="AQ16" s="66">
        <f t="shared" si="9"/>
        <v>0</v>
      </c>
      <c r="AR16" s="66">
        <f t="shared" si="9"/>
        <v>0</v>
      </c>
      <c r="AS16" s="66">
        <f t="shared" si="9"/>
        <v>0</v>
      </c>
      <c r="AT16" s="66">
        <f t="shared" si="9"/>
        <v>0</v>
      </c>
      <c r="AU16" s="66">
        <f t="shared" si="9"/>
        <v>0</v>
      </c>
      <c r="AV16" s="66">
        <f t="shared" si="9"/>
        <v>0</v>
      </c>
      <c r="AW16" s="66">
        <f t="shared" si="9"/>
        <v>0</v>
      </c>
      <c r="AX16" s="66">
        <f t="shared" si="9"/>
        <v>0</v>
      </c>
      <c r="AY16" s="66">
        <f t="shared" si="9"/>
        <v>0</v>
      </c>
      <c r="AZ16" s="66">
        <f t="shared" si="9"/>
        <v>0</v>
      </c>
      <c r="BA16" s="66">
        <f t="shared" si="9"/>
        <v>0</v>
      </c>
      <c r="BB16" s="66">
        <f t="shared" si="9"/>
        <v>0</v>
      </c>
      <c r="BC16" s="66">
        <f t="shared" si="9"/>
        <v>0</v>
      </c>
      <c r="BD16" s="66">
        <f t="shared" si="9"/>
        <v>0</v>
      </c>
      <c r="BE16" s="66">
        <f t="shared" si="9"/>
        <v>0</v>
      </c>
      <c r="BF16" s="66">
        <f t="shared" si="9"/>
        <v>0</v>
      </c>
      <c r="BG16" s="66">
        <f t="shared" si="9"/>
        <v>0</v>
      </c>
      <c r="BH16" s="66">
        <f t="shared" si="9"/>
        <v>0</v>
      </c>
      <c r="BI16" s="66">
        <f t="shared" si="9"/>
        <v>0</v>
      </c>
      <c r="BJ16" s="66">
        <f t="shared" si="9"/>
        <v>0</v>
      </c>
      <c r="BK16" s="66">
        <f t="shared" si="9"/>
        <v>0</v>
      </c>
      <c r="BL16" s="66">
        <f t="shared" si="9"/>
        <v>0</v>
      </c>
      <c r="BM16" s="66">
        <f t="shared" si="9"/>
        <v>0</v>
      </c>
      <c r="BN16" s="66">
        <f t="shared" si="9"/>
        <v>0</v>
      </c>
      <c r="BO16" s="66">
        <f t="shared" si="9"/>
        <v>0</v>
      </c>
    </row>
    <row r="17" spans="2:67" ht="16.5" x14ac:dyDescent="0.25">
      <c r="B17" s="263" t="s">
        <v>7</v>
      </c>
      <c r="C17" s="263"/>
      <c r="D17" s="263"/>
      <c r="E17" s="263"/>
      <c r="F17" s="51">
        <v>12</v>
      </c>
      <c r="G17" s="51">
        <v>12</v>
      </c>
      <c r="H17" s="51">
        <v>12</v>
      </c>
      <c r="I17" s="51">
        <v>12</v>
      </c>
      <c r="J17" s="51">
        <v>12</v>
      </c>
      <c r="K17" s="51">
        <v>24</v>
      </c>
      <c r="L17" s="51">
        <v>24</v>
      </c>
      <c r="M17" s="51">
        <v>24</v>
      </c>
      <c r="N17" s="51">
        <v>24</v>
      </c>
      <c r="O17" s="51">
        <v>24</v>
      </c>
      <c r="P17" s="51">
        <v>48</v>
      </c>
      <c r="Q17" s="51">
        <v>48</v>
      </c>
      <c r="R17" s="51">
        <v>48</v>
      </c>
      <c r="S17" s="51">
        <v>48</v>
      </c>
      <c r="T17" s="51">
        <v>48</v>
      </c>
      <c r="U17" s="51">
        <v>60</v>
      </c>
      <c r="V17" s="51">
        <v>60</v>
      </c>
      <c r="W17" s="51">
        <v>60</v>
      </c>
      <c r="X17" s="51">
        <v>60</v>
      </c>
      <c r="Y17" s="51">
        <v>60</v>
      </c>
      <c r="Z17" s="51">
        <v>72</v>
      </c>
      <c r="AA17" s="51">
        <v>72</v>
      </c>
      <c r="AB17" s="51">
        <v>72</v>
      </c>
      <c r="AC17" s="51">
        <v>72</v>
      </c>
      <c r="AD17" s="51">
        <v>72</v>
      </c>
      <c r="AE17" s="51">
        <v>84</v>
      </c>
      <c r="AF17" s="51">
        <v>84</v>
      </c>
      <c r="AG17" s="51">
        <v>84</v>
      </c>
      <c r="AH17" s="51">
        <v>84</v>
      </c>
      <c r="AI17" s="51">
        <v>84</v>
      </c>
      <c r="AJ17" s="51">
        <v>84</v>
      </c>
      <c r="AK17" s="51">
        <v>108</v>
      </c>
      <c r="AL17" s="51">
        <v>108</v>
      </c>
      <c r="AM17" s="51">
        <v>108</v>
      </c>
      <c r="AN17" s="51">
        <v>108</v>
      </c>
      <c r="AO17" s="36">
        <v>108</v>
      </c>
      <c r="AP17" s="7">
        <v>120</v>
      </c>
      <c r="AQ17" s="7">
        <v>120</v>
      </c>
      <c r="AR17" s="7">
        <v>120</v>
      </c>
      <c r="AS17" s="7">
        <v>120</v>
      </c>
      <c r="AT17" s="7">
        <v>120</v>
      </c>
      <c r="AU17" s="7">
        <v>120</v>
      </c>
      <c r="AV17" s="7">
        <v>120</v>
      </c>
      <c r="AW17" s="51">
        <v>120</v>
      </c>
      <c r="AX17" s="51">
        <v>120</v>
      </c>
      <c r="AY17" s="51">
        <v>120</v>
      </c>
      <c r="AZ17" s="51">
        <v>120</v>
      </c>
      <c r="BA17" s="51">
        <v>120</v>
      </c>
      <c r="BB17" s="51">
        <v>120</v>
      </c>
      <c r="BC17" s="51">
        <v>120</v>
      </c>
      <c r="BD17" s="51">
        <v>120</v>
      </c>
      <c r="BE17" s="51">
        <v>120</v>
      </c>
      <c r="BF17" s="51">
        <v>120</v>
      </c>
      <c r="BG17" s="51">
        <v>120</v>
      </c>
      <c r="BH17" s="51">
        <v>120</v>
      </c>
      <c r="BI17" s="51">
        <v>120</v>
      </c>
      <c r="BJ17" s="51">
        <v>120</v>
      </c>
      <c r="BK17" s="51">
        <v>120</v>
      </c>
      <c r="BL17" s="51">
        <v>120</v>
      </c>
      <c r="BM17" s="51">
        <v>120</v>
      </c>
      <c r="BN17" s="51">
        <v>120</v>
      </c>
      <c r="BO17" s="51">
        <v>120</v>
      </c>
    </row>
    <row r="18" spans="2:67" ht="16.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</row>
    <row r="19" spans="2:67" ht="16.5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</row>
    <row r="20" spans="2:67" ht="16.5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</row>
    <row r="21" spans="2:67" ht="16.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</row>
    <row r="22" spans="2:67" ht="16.5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</row>
    <row r="23" spans="2:67" ht="16.5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</row>
    <row r="24" spans="2:67" ht="16.5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</row>
    <row r="25" spans="2:67" ht="16.5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</row>
    <row r="26" spans="2:67" ht="16.5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</row>
    <row r="27" spans="2:67" ht="16.5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</row>
    <row r="28" spans="2:67" ht="16.5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</row>
    <row r="30" spans="2:67" ht="16.5" hidden="1" customHeight="1" x14ac:dyDescent="0.25"/>
    <row r="31" spans="2:67" ht="16.5" hidden="1" customHeight="1" x14ac:dyDescent="0.25"/>
    <row r="32" spans="2:67" ht="16.5" hidden="1" customHeight="1" x14ac:dyDescent="0.25"/>
    <row r="33" ht="16.5" hidden="1" customHeight="1" x14ac:dyDescent="0.25"/>
    <row r="34" ht="16.5" hidden="1" customHeight="1" x14ac:dyDescent="0.25"/>
    <row r="35" ht="16.5" hidden="1" customHeight="1" x14ac:dyDescent="0.25"/>
    <row r="36" ht="16.5" hidden="1" customHeight="1" x14ac:dyDescent="0.25"/>
    <row r="37" ht="16.5" hidden="1" customHeight="1" x14ac:dyDescent="0.25"/>
    <row r="38" ht="16.5" hidden="1" customHeight="1" x14ac:dyDescent="0.25"/>
    <row r="39" ht="16.5" hidden="1" customHeight="1" x14ac:dyDescent="0.25"/>
    <row r="40" ht="16.5" hidden="1" customHeight="1" x14ac:dyDescent="0.25"/>
    <row r="41" ht="16.5" hidden="1" customHeight="1" x14ac:dyDescent="0.25"/>
    <row r="42" ht="16.5" hidden="1" customHeight="1" x14ac:dyDescent="0.25"/>
    <row r="45" ht="15" hidden="1" customHeight="1" x14ac:dyDescent="0.25"/>
    <row r="46" ht="15" hidden="1" customHeight="1" x14ac:dyDescent="0.25"/>
    <row r="47" ht="15" hidden="1" customHeight="1" x14ac:dyDescent="0.25"/>
    <row r="48" ht="15" hidden="1" customHeight="1" x14ac:dyDescent="0.25"/>
    <row r="49" ht="15" hidden="1" customHeight="1" x14ac:dyDescent="0.25"/>
    <row r="50" ht="15" hidden="1" customHeight="1" x14ac:dyDescent="0.25"/>
    <row r="51" ht="15" hidden="1" customHeight="1" x14ac:dyDescent="0.25"/>
    <row r="52" ht="15" hidden="1" customHeight="1" x14ac:dyDescent="0.25"/>
    <row r="53" ht="15" hidden="1" customHeight="1" x14ac:dyDescent="0.25"/>
    <row r="54" ht="15" hidden="1" customHeight="1" x14ac:dyDescent="0.25"/>
    <row r="55" ht="15" hidden="1" customHeight="1" x14ac:dyDescent="0.25"/>
    <row r="56" ht="15" hidden="1" customHeight="1" x14ac:dyDescent="0.25"/>
    <row r="57" ht="15" hidden="1" customHeight="1" x14ac:dyDescent="0.25"/>
    <row r="58" ht="15" hidden="1" customHeight="1" x14ac:dyDescent="0.25"/>
    <row r="59" ht="15" hidden="1" customHeight="1" x14ac:dyDescent="0.25"/>
    <row r="60" ht="15" hidden="1" customHeight="1" x14ac:dyDescent="0.25"/>
  </sheetData>
  <mergeCells count="19">
    <mergeCell ref="B1:U2"/>
    <mergeCell ref="B4:C4"/>
    <mergeCell ref="B6:B8"/>
    <mergeCell ref="C6:D7"/>
    <mergeCell ref="E6:E8"/>
    <mergeCell ref="B17:E17"/>
    <mergeCell ref="F6:BO6"/>
    <mergeCell ref="B13:B14"/>
    <mergeCell ref="C13:C14"/>
    <mergeCell ref="D13:D14"/>
    <mergeCell ref="B15:B16"/>
    <mergeCell ref="C15:C16"/>
    <mergeCell ref="D15:D16"/>
    <mergeCell ref="B9:B10"/>
    <mergeCell ref="C9:C10"/>
    <mergeCell ref="D9:D10"/>
    <mergeCell ref="B11:B12"/>
    <mergeCell ref="C11:C12"/>
    <mergeCell ref="D11:D12"/>
  </mergeCells>
  <conditionalFormatting sqref="F11:J11 F9:J9 F13:J13 L9:N9 P9:T9 L13:T13 AR9:AU9 AN13:AU13 AM15:AV15 F15:U15">
    <cfRule type="containsBlanks" dxfId="413" priority="42">
      <formula>LEN(TRIM(F9))=0</formula>
    </cfRule>
  </conditionalFormatting>
  <conditionalFormatting sqref="U9">
    <cfRule type="containsBlanks" dxfId="412" priority="40">
      <formula>LEN(TRIM(U9))=0</formula>
    </cfRule>
  </conditionalFormatting>
  <conditionalFormatting sqref="O9">
    <cfRule type="containsBlanks" dxfId="411" priority="39">
      <formula>LEN(TRIM(O9))=0</formula>
    </cfRule>
  </conditionalFormatting>
  <conditionalFormatting sqref="U13">
    <cfRule type="containsBlanks" dxfId="410" priority="38">
      <formula>LEN(TRIM(U13))=0</formula>
    </cfRule>
  </conditionalFormatting>
  <conditionalFormatting sqref="K9">
    <cfRule type="containsBlanks" dxfId="409" priority="37">
      <formula>LEN(TRIM(K9))=0</formula>
    </cfRule>
  </conditionalFormatting>
  <conditionalFormatting sqref="K11:BO11">
    <cfRule type="containsBlanks" dxfId="408" priority="36">
      <formula>LEN(TRIM(K11))=0</formula>
    </cfRule>
  </conditionalFormatting>
  <conditionalFormatting sqref="K13">
    <cfRule type="containsBlanks" dxfId="407" priority="35">
      <formula>LEN(TRIM(K13))=0</formula>
    </cfRule>
  </conditionalFormatting>
  <conditionalFormatting sqref="V15">
    <cfRule type="containsBlanks" dxfId="406" priority="34">
      <formula>LEN(TRIM(V15))=0</formula>
    </cfRule>
  </conditionalFormatting>
  <conditionalFormatting sqref="V9">
    <cfRule type="containsBlanks" dxfId="405" priority="32">
      <formula>LEN(TRIM(V9))=0</formula>
    </cfRule>
  </conditionalFormatting>
  <conditionalFormatting sqref="V13">
    <cfRule type="containsBlanks" dxfId="404" priority="31">
      <formula>LEN(TRIM(V13))=0</formula>
    </cfRule>
  </conditionalFormatting>
  <conditionalFormatting sqref="W9:AA9 W13:AA13 AC9:AE9 AG9:AK9 AC13:AK13 W15:AL15">
    <cfRule type="containsBlanks" dxfId="403" priority="30">
      <formula>LEN(TRIM(W9))=0</formula>
    </cfRule>
  </conditionalFormatting>
  <conditionalFormatting sqref="AL9">
    <cfRule type="containsBlanks" dxfId="402" priority="28">
      <formula>LEN(TRIM(AL9))=0</formula>
    </cfRule>
  </conditionalFormatting>
  <conditionalFormatting sqref="AF9">
    <cfRule type="containsBlanks" dxfId="401" priority="27">
      <formula>LEN(TRIM(AF9))=0</formula>
    </cfRule>
  </conditionalFormatting>
  <conditionalFormatting sqref="AL13">
    <cfRule type="containsBlanks" dxfId="400" priority="26">
      <formula>LEN(TRIM(AL13))=0</formula>
    </cfRule>
  </conditionalFormatting>
  <conditionalFormatting sqref="AB9">
    <cfRule type="containsBlanks" dxfId="399" priority="25">
      <formula>LEN(TRIM(AB9))=0</formula>
    </cfRule>
  </conditionalFormatting>
  <conditionalFormatting sqref="AB13">
    <cfRule type="containsBlanks" dxfId="398" priority="23">
      <formula>LEN(TRIM(AB13))=0</formula>
    </cfRule>
  </conditionalFormatting>
  <conditionalFormatting sqref="AV13">
    <cfRule type="containsBlanks" dxfId="397" priority="18">
      <formula>LEN(TRIM(AV13))=0</formula>
    </cfRule>
  </conditionalFormatting>
  <conditionalFormatting sqref="AM9">
    <cfRule type="containsBlanks" dxfId="396" priority="17">
      <formula>LEN(TRIM(AM9))=0</formula>
    </cfRule>
  </conditionalFormatting>
  <conditionalFormatting sqref="AM13">
    <cfRule type="containsBlanks" dxfId="395" priority="15">
      <formula>LEN(TRIM(AM13))=0</formula>
    </cfRule>
  </conditionalFormatting>
  <conditionalFormatting sqref="AN9:AP9">
    <cfRule type="containsBlanks" dxfId="394" priority="22">
      <formula>LEN(TRIM(AN9))=0</formula>
    </cfRule>
  </conditionalFormatting>
  <conditionalFormatting sqref="AV9">
    <cfRule type="containsBlanks" dxfId="393" priority="20">
      <formula>LEN(TRIM(AV9))=0</formula>
    </cfRule>
  </conditionalFormatting>
  <conditionalFormatting sqref="AQ9">
    <cfRule type="containsBlanks" dxfId="392" priority="19">
      <formula>LEN(TRIM(AQ9))=0</formula>
    </cfRule>
  </conditionalFormatting>
  <conditionalFormatting sqref="BM9:BO9 BI13:BO13 BH15:BO15">
    <cfRule type="containsBlanks" dxfId="391" priority="14">
      <formula>LEN(TRIM(BH9))=0</formula>
    </cfRule>
  </conditionalFormatting>
  <conditionalFormatting sqref="BB9:BF9 AX13:BF13 AW15:BG15 AX9:AZ9">
    <cfRule type="containsBlanks" dxfId="390" priority="13">
      <formula>LEN(TRIM(AW9))=0</formula>
    </cfRule>
  </conditionalFormatting>
  <conditionalFormatting sqref="BG9">
    <cfRule type="containsBlanks" dxfId="389" priority="11">
      <formula>LEN(TRIM(BG9))=0</formula>
    </cfRule>
  </conditionalFormatting>
  <conditionalFormatting sqref="BA9">
    <cfRule type="containsBlanks" dxfId="388" priority="10">
      <formula>LEN(TRIM(BA9))=0</formula>
    </cfRule>
  </conditionalFormatting>
  <conditionalFormatting sqref="BG13">
    <cfRule type="containsBlanks" dxfId="387" priority="9">
      <formula>LEN(TRIM(BG13))=0</formula>
    </cfRule>
  </conditionalFormatting>
  <conditionalFormatting sqref="AW9">
    <cfRule type="containsBlanks" dxfId="386" priority="8">
      <formula>LEN(TRIM(AW9))=0</formula>
    </cfRule>
  </conditionalFormatting>
  <conditionalFormatting sqref="AW13">
    <cfRule type="containsBlanks" dxfId="385" priority="6">
      <formula>LEN(TRIM(AW13))=0</formula>
    </cfRule>
  </conditionalFormatting>
  <conditionalFormatting sqref="BH9">
    <cfRule type="containsBlanks" dxfId="384" priority="3">
      <formula>LEN(TRIM(BH9))=0</formula>
    </cfRule>
  </conditionalFormatting>
  <conditionalFormatting sqref="BH13">
    <cfRule type="containsBlanks" dxfId="383" priority="1">
      <formula>LEN(TRIM(BH13))=0</formula>
    </cfRule>
  </conditionalFormatting>
  <conditionalFormatting sqref="BI9:BK9">
    <cfRule type="containsBlanks" dxfId="382" priority="5">
      <formula>LEN(TRIM(BI9))=0</formula>
    </cfRule>
  </conditionalFormatting>
  <conditionalFormatting sqref="BL9">
    <cfRule type="containsBlanks" dxfId="381" priority="4">
      <formula>LEN(TRIM(BL9))=0</formula>
    </cfRule>
  </conditionalFormatting>
  <printOptions horizontalCentered="1" verticalCentered="1"/>
  <pageMargins left="0.2" right="0" top="0" bottom="0" header="0" footer="0"/>
  <pageSetup paperSize="9" scale="95" orientation="landscape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O60"/>
  <sheetViews>
    <sheetView showGridLines="0" topLeftCell="E1" zoomScale="70" zoomScaleNormal="70" workbookViewId="0">
      <selection activeCell="BS11" sqref="BS11"/>
    </sheetView>
  </sheetViews>
  <sheetFormatPr defaultRowHeight="15" x14ac:dyDescent="0.25"/>
  <cols>
    <col min="1" max="1" width="4" customWidth="1"/>
    <col min="2" max="2" width="26" customWidth="1"/>
    <col min="3" max="4" width="7.5703125" hidden="1" customWidth="1"/>
    <col min="5" max="5" width="27.28515625" customWidth="1"/>
    <col min="6" max="6" width="6.7109375" hidden="1" customWidth="1"/>
    <col min="7" max="7" width="7.7109375" hidden="1" customWidth="1"/>
    <col min="8" max="41" width="6.7109375" hidden="1" customWidth="1"/>
    <col min="42" max="42" width="6.42578125" hidden="1" customWidth="1"/>
    <col min="43" max="55" width="6.7109375" hidden="1" customWidth="1"/>
    <col min="56" max="82" width="6.7109375" customWidth="1"/>
    <col min="83" max="83" width="6.42578125" customWidth="1"/>
    <col min="84" max="93" width="6.7109375" customWidth="1"/>
  </cols>
  <sheetData>
    <row r="1" spans="2:93" ht="16.5" customHeight="1" x14ac:dyDescent="0.3"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1"/>
      <c r="AO1" s="1"/>
      <c r="AY1" s="1"/>
      <c r="BO1" s="1"/>
      <c r="CD1" s="1"/>
      <c r="CN1" s="1"/>
    </row>
    <row r="2" spans="2:93" ht="40.5" customHeight="1" x14ac:dyDescent="0.3"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1"/>
      <c r="AO2" s="1"/>
      <c r="AY2" s="1"/>
      <c r="BO2" s="1"/>
      <c r="CD2" s="1"/>
      <c r="CN2" s="1"/>
    </row>
    <row r="3" spans="2:93" ht="21" customHeight="1" x14ac:dyDescent="0.3">
      <c r="B3" s="19"/>
      <c r="C3" s="19"/>
      <c r="D3" s="19"/>
      <c r="E3" s="19"/>
      <c r="F3" s="19"/>
      <c r="G3" s="19"/>
      <c r="H3" s="1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</row>
    <row r="4" spans="2:93" s="2" customFormat="1" ht="18" x14ac:dyDescent="0.2">
      <c r="B4" s="303" t="s">
        <v>18</v>
      </c>
      <c r="C4" s="303"/>
      <c r="D4" s="303"/>
      <c r="E4" s="303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 t="s">
        <v>26</v>
      </c>
      <c r="S4" s="52"/>
      <c r="T4" s="52"/>
      <c r="U4" s="52"/>
      <c r="V4" s="52"/>
      <c r="W4" s="52"/>
      <c r="X4" s="52"/>
      <c r="Y4" s="52"/>
      <c r="Z4" s="52"/>
      <c r="AA4" s="52"/>
      <c r="AB4" s="53"/>
      <c r="AG4" s="52"/>
      <c r="AM4" s="52"/>
      <c r="AN4" s="52"/>
      <c r="AO4" s="52"/>
      <c r="AP4" s="52"/>
      <c r="AU4" s="52"/>
      <c r="AV4" s="52"/>
      <c r="AW4" s="52"/>
      <c r="AX4" s="52"/>
      <c r="AY4" s="52"/>
      <c r="AZ4" s="52"/>
      <c r="BA4" s="53"/>
      <c r="BE4" s="52" t="s">
        <v>20</v>
      </c>
      <c r="BF4" s="52"/>
      <c r="BG4" s="52" t="s">
        <v>26</v>
      </c>
      <c r="BH4" s="52"/>
      <c r="BI4" s="52"/>
      <c r="BJ4" s="52"/>
      <c r="BK4" s="52"/>
      <c r="BL4" s="52"/>
      <c r="BM4" s="52"/>
      <c r="BN4" s="52"/>
      <c r="BO4" s="52"/>
      <c r="BP4" s="52"/>
      <c r="BQ4" s="53"/>
      <c r="BV4" s="52"/>
      <c r="CB4" s="52"/>
      <c r="CC4" s="52"/>
      <c r="CD4" s="52"/>
      <c r="CE4" s="52"/>
      <c r="CJ4" s="52"/>
      <c r="CK4" s="52"/>
      <c r="CL4" s="52"/>
      <c r="CM4" s="52"/>
      <c r="CN4" s="52"/>
      <c r="CO4" s="52"/>
    </row>
    <row r="5" spans="2:93" ht="3" customHeigh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</row>
    <row r="6" spans="2:93" s="2" customFormat="1" ht="23.25" customHeight="1" x14ac:dyDescent="0.2">
      <c r="B6" s="241" t="s">
        <v>0</v>
      </c>
      <c r="C6" s="241" t="s">
        <v>1</v>
      </c>
      <c r="D6" s="241"/>
      <c r="E6" s="241" t="s">
        <v>2</v>
      </c>
      <c r="F6" s="37" t="s">
        <v>3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265" t="s">
        <v>16</v>
      </c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  <c r="AK6" s="265"/>
      <c r="AL6" s="265"/>
      <c r="AM6" s="265"/>
      <c r="AN6" s="265"/>
      <c r="AO6" s="265"/>
      <c r="AP6" s="265"/>
      <c r="AQ6" s="265"/>
      <c r="AR6" s="265"/>
      <c r="AS6" s="265"/>
      <c r="AT6" s="265"/>
      <c r="AU6" s="265"/>
      <c r="AV6" s="265"/>
      <c r="AW6" s="265"/>
      <c r="AX6" s="265"/>
      <c r="AY6" s="265"/>
      <c r="AZ6" s="265"/>
      <c r="BA6" s="265"/>
      <c r="BB6" s="265"/>
      <c r="BC6" s="265"/>
      <c r="BD6" s="265"/>
      <c r="BE6" s="265"/>
      <c r="BF6" s="265"/>
      <c r="BG6" s="265"/>
      <c r="BH6" s="265"/>
      <c r="BI6" s="265"/>
      <c r="BJ6" s="265"/>
      <c r="BK6" s="265"/>
      <c r="BL6" s="265"/>
      <c r="BM6" s="265"/>
      <c r="BN6" s="265"/>
      <c r="BO6" s="265"/>
      <c r="BP6" s="265"/>
      <c r="BQ6" s="265"/>
      <c r="BR6" s="265"/>
      <c r="BS6" s="265"/>
      <c r="BT6" s="265"/>
      <c r="BU6" s="265"/>
      <c r="BV6" s="265"/>
      <c r="BW6" s="265"/>
      <c r="BX6" s="265"/>
      <c r="BY6" s="265"/>
      <c r="BZ6" s="265"/>
      <c r="CA6" s="265"/>
      <c r="CB6" s="265"/>
      <c r="CC6" s="265"/>
      <c r="CD6" s="265"/>
      <c r="CE6" s="265"/>
      <c r="CF6" s="265"/>
      <c r="CG6" s="265"/>
      <c r="CH6" s="265"/>
      <c r="CI6" s="265"/>
      <c r="CJ6" s="265"/>
      <c r="CK6" s="265"/>
      <c r="CL6" s="265"/>
      <c r="CM6" s="265"/>
      <c r="CN6" s="265"/>
      <c r="CO6" s="265"/>
    </row>
    <row r="7" spans="2:93" s="2" customFormat="1" ht="23.25" customHeight="1" x14ac:dyDescent="0.2">
      <c r="B7" s="241"/>
      <c r="C7" s="241"/>
      <c r="D7" s="241"/>
      <c r="E7" s="241"/>
      <c r="F7" s="38">
        <v>1</v>
      </c>
      <c r="G7" s="38">
        <f>1+F7</f>
        <v>2</v>
      </c>
      <c r="H7" s="38">
        <f>1+G7</f>
        <v>3</v>
      </c>
      <c r="I7" s="38">
        <f t="shared" ref="I7:Y7" si="0">1+H7</f>
        <v>4</v>
      </c>
      <c r="J7" s="38">
        <f t="shared" si="0"/>
        <v>5</v>
      </c>
      <c r="K7" s="38">
        <f t="shared" si="0"/>
        <v>6</v>
      </c>
      <c r="L7" s="38">
        <f t="shared" si="0"/>
        <v>7</v>
      </c>
      <c r="M7" s="38">
        <f t="shared" si="0"/>
        <v>8</v>
      </c>
      <c r="N7" s="38">
        <f t="shared" si="0"/>
        <v>9</v>
      </c>
      <c r="O7" s="38">
        <f t="shared" si="0"/>
        <v>10</v>
      </c>
      <c r="P7" s="38">
        <f t="shared" si="0"/>
        <v>11</v>
      </c>
      <c r="Q7" s="38">
        <f t="shared" si="0"/>
        <v>12</v>
      </c>
      <c r="R7" s="38">
        <f t="shared" si="0"/>
        <v>13</v>
      </c>
      <c r="S7" s="38">
        <f t="shared" si="0"/>
        <v>14</v>
      </c>
      <c r="T7" s="38">
        <f t="shared" si="0"/>
        <v>15</v>
      </c>
      <c r="U7" s="38">
        <f t="shared" si="0"/>
        <v>16</v>
      </c>
      <c r="V7" s="38">
        <f t="shared" si="0"/>
        <v>17</v>
      </c>
      <c r="W7" s="38">
        <f t="shared" si="0"/>
        <v>18</v>
      </c>
      <c r="X7" s="38">
        <f t="shared" si="0"/>
        <v>19</v>
      </c>
      <c r="Y7" s="38">
        <f t="shared" si="0"/>
        <v>20</v>
      </c>
      <c r="Z7" s="38">
        <f t="shared" ref="Z7:AU7" si="1">1+Y7</f>
        <v>21</v>
      </c>
      <c r="AA7" s="38">
        <f t="shared" si="1"/>
        <v>22</v>
      </c>
      <c r="AB7" s="38">
        <f t="shared" si="1"/>
        <v>23</v>
      </c>
      <c r="AC7" s="38">
        <f t="shared" si="1"/>
        <v>24</v>
      </c>
      <c r="AD7" s="38">
        <f t="shared" si="1"/>
        <v>25</v>
      </c>
      <c r="AE7" s="38">
        <f t="shared" si="1"/>
        <v>26</v>
      </c>
      <c r="AF7" s="38">
        <f t="shared" si="1"/>
        <v>27</v>
      </c>
      <c r="AG7" s="38">
        <f t="shared" si="1"/>
        <v>28</v>
      </c>
      <c r="AH7" s="38">
        <f t="shared" si="1"/>
        <v>29</v>
      </c>
      <c r="AI7" s="38">
        <f t="shared" si="1"/>
        <v>30</v>
      </c>
      <c r="AJ7" s="38">
        <f t="shared" si="1"/>
        <v>31</v>
      </c>
      <c r="AK7" s="38">
        <f t="shared" si="1"/>
        <v>32</v>
      </c>
      <c r="AL7" s="38">
        <f t="shared" si="1"/>
        <v>33</v>
      </c>
      <c r="AM7" s="38">
        <f t="shared" si="1"/>
        <v>34</v>
      </c>
      <c r="AN7" s="38">
        <f t="shared" si="1"/>
        <v>35</v>
      </c>
      <c r="AO7" s="38">
        <f t="shared" si="1"/>
        <v>36</v>
      </c>
      <c r="AP7" s="38">
        <f t="shared" si="1"/>
        <v>37</v>
      </c>
      <c r="AQ7" s="38">
        <f t="shared" si="1"/>
        <v>38</v>
      </c>
      <c r="AR7" s="38">
        <f t="shared" si="1"/>
        <v>39</v>
      </c>
      <c r="AS7" s="38">
        <f t="shared" si="1"/>
        <v>40</v>
      </c>
      <c r="AT7" s="38">
        <f t="shared" si="1"/>
        <v>41</v>
      </c>
      <c r="AU7" s="38">
        <f t="shared" si="1"/>
        <v>42</v>
      </c>
      <c r="AV7" s="38">
        <f t="shared" ref="AV7:BF7" si="2">1+AU7</f>
        <v>43</v>
      </c>
      <c r="AW7" s="38">
        <f t="shared" si="2"/>
        <v>44</v>
      </c>
      <c r="AX7" s="38">
        <f t="shared" si="2"/>
        <v>45</v>
      </c>
      <c r="AY7" s="38">
        <f t="shared" si="2"/>
        <v>46</v>
      </c>
      <c r="AZ7" s="38">
        <f t="shared" si="2"/>
        <v>47</v>
      </c>
      <c r="BA7" s="38">
        <f t="shared" si="2"/>
        <v>48</v>
      </c>
      <c r="BB7" s="38">
        <f t="shared" si="2"/>
        <v>49</v>
      </c>
      <c r="BC7" s="38">
        <f t="shared" si="2"/>
        <v>50</v>
      </c>
      <c r="BD7" s="38">
        <f t="shared" si="2"/>
        <v>51</v>
      </c>
      <c r="BE7" s="38">
        <f t="shared" si="2"/>
        <v>52</v>
      </c>
      <c r="BF7" s="38">
        <f t="shared" si="2"/>
        <v>53</v>
      </c>
      <c r="BG7" s="38">
        <f t="shared" ref="BG7:CO7" si="3">1+BF7</f>
        <v>54</v>
      </c>
      <c r="BH7" s="38">
        <f t="shared" si="3"/>
        <v>55</v>
      </c>
      <c r="BI7" s="38">
        <f t="shared" si="3"/>
        <v>56</v>
      </c>
      <c r="BJ7" s="38">
        <f t="shared" si="3"/>
        <v>57</v>
      </c>
      <c r="BK7" s="38">
        <f t="shared" si="3"/>
        <v>58</v>
      </c>
      <c r="BL7" s="38">
        <f t="shared" si="3"/>
        <v>59</v>
      </c>
      <c r="BM7" s="38">
        <f t="shared" si="3"/>
        <v>60</v>
      </c>
      <c r="BN7" s="38">
        <f t="shared" si="3"/>
        <v>61</v>
      </c>
      <c r="BO7" s="38">
        <f t="shared" si="3"/>
        <v>62</v>
      </c>
      <c r="BP7" s="38">
        <f t="shared" si="3"/>
        <v>63</v>
      </c>
      <c r="BQ7" s="38">
        <f t="shared" si="3"/>
        <v>64</v>
      </c>
      <c r="BR7" s="38">
        <f t="shared" si="3"/>
        <v>65</v>
      </c>
      <c r="BS7" s="38">
        <f t="shared" si="3"/>
        <v>66</v>
      </c>
      <c r="BT7" s="38">
        <f t="shared" si="3"/>
        <v>67</v>
      </c>
      <c r="BU7" s="38">
        <f t="shared" si="3"/>
        <v>68</v>
      </c>
      <c r="BV7" s="38">
        <f t="shared" si="3"/>
        <v>69</v>
      </c>
      <c r="BW7" s="38">
        <f t="shared" si="3"/>
        <v>70</v>
      </c>
      <c r="BX7" s="38">
        <f t="shared" si="3"/>
        <v>71</v>
      </c>
      <c r="BY7" s="38">
        <f t="shared" si="3"/>
        <v>72</v>
      </c>
      <c r="BZ7" s="38">
        <f t="shared" si="3"/>
        <v>73</v>
      </c>
      <c r="CA7" s="38">
        <f t="shared" si="3"/>
        <v>74</v>
      </c>
      <c r="CB7" s="38">
        <f t="shared" si="3"/>
        <v>75</v>
      </c>
      <c r="CC7" s="38">
        <f t="shared" si="3"/>
        <v>76</v>
      </c>
      <c r="CD7" s="38">
        <f t="shared" si="3"/>
        <v>77</v>
      </c>
      <c r="CE7" s="38">
        <f t="shared" si="3"/>
        <v>78</v>
      </c>
      <c r="CF7" s="38">
        <f t="shared" si="3"/>
        <v>79</v>
      </c>
      <c r="CG7" s="38">
        <f t="shared" si="3"/>
        <v>80</v>
      </c>
      <c r="CH7" s="38">
        <f t="shared" si="3"/>
        <v>81</v>
      </c>
      <c r="CI7" s="38">
        <f t="shared" si="3"/>
        <v>82</v>
      </c>
      <c r="CJ7" s="38">
        <f t="shared" si="3"/>
        <v>83</v>
      </c>
      <c r="CK7" s="38">
        <f t="shared" si="3"/>
        <v>84</v>
      </c>
      <c r="CL7" s="38">
        <f t="shared" si="3"/>
        <v>85</v>
      </c>
      <c r="CM7" s="38">
        <f t="shared" si="3"/>
        <v>86</v>
      </c>
      <c r="CN7" s="38">
        <f t="shared" si="3"/>
        <v>87</v>
      </c>
      <c r="CO7" s="38">
        <f t="shared" si="3"/>
        <v>88</v>
      </c>
    </row>
    <row r="8" spans="2:93" s="2" customFormat="1" ht="23.25" customHeight="1" x14ac:dyDescent="0.2">
      <c r="B8" s="241"/>
      <c r="C8" s="105" t="s">
        <v>4</v>
      </c>
      <c r="D8" s="105" t="s">
        <v>5</v>
      </c>
      <c r="E8" s="241"/>
      <c r="F8" s="39">
        <v>46044</v>
      </c>
      <c r="G8" s="39">
        <v>46045</v>
      </c>
      <c r="H8" s="39">
        <v>46048</v>
      </c>
      <c r="I8" s="39">
        <v>46049</v>
      </c>
      <c r="J8" s="39">
        <v>46050</v>
      </c>
      <c r="K8" s="39">
        <v>46051</v>
      </c>
      <c r="L8" s="39">
        <v>46052</v>
      </c>
      <c r="M8" s="39">
        <v>46055</v>
      </c>
      <c r="N8" s="39">
        <v>46056</v>
      </c>
      <c r="O8" s="39">
        <v>46057</v>
      </c>
      <c r="P8" s="39">
        <v>46058</v>
      </c>
      <c r="Q8" s="39">
        <v>46059</v>
      </c>
      <c r="R8" s="39">
        <v>46062</v>
      </c>
      <c r="S8" s="39">
        <v>46063</v>
      </c>
      <c r="T8" s="39">
        <v>46064</v>
      </c>
      <c r="U8" s="39">
        <v>46065</v>
      </c>
      <c r="V8" s="39">
        <v>46066</v>
      </c>
      <c r="W8" s="39">
        <v>46069</v>
      </c>
      <c r="X8" s="39">
        <v>46070</v>
      </c>
      <c r="Y8" s="39">
        <v>46071</v>
      </c>
      <c r="Z8" s="39">
        <v>46072</v>
      </c>
      <c r="AA8" s="39">
        <v>46073</v>
      </c>
      <c r="AB8" s="39">
        <v>46074</v>
      </c>
      <c r="AC8" s="39">
        <v>46076</v>
      </c>
      <c r="AD8" s="39">
        <v>46077</v>
      </c>
      <c r="AE8" s="39">
        <v>46078</v>
      </c>
      <c r="AF8" s="39">
        <v>46079</v>
      </c>
      <c r="AG8" s="39">
        <v>46080</v>
      </c>
      <c r="AH8" s="39">
        <v>46081</v>
      </c>
      <c r="AI8" s="39">
        <v>46083</v>
      </c>
      <c r="AJ8" s="39">
        <v>46084</v>
      </c>
      <c r="AK8" s="39">
        <v>46085</v>
      </c>
      <c r="AL8" s="39">
        <v>46086</v>
      </c>
      <c r="AM8" s="39">
        <v>46087</v>
      </c>
      <c r="AN8" s="39">
        <v>46090</v>
      </c>
      <c r="AO8" s="39">
        <v>46091</v>
      </c>
      <c r="AP8" s="39">
        <v>46092</v>
      </c>
      <c r="AQ8" s="39">
        <v>46093</v>
      </c>
      <c r="AR8" s="39">
        <v>46094</v>
      </c>
      <c r="AS8" s="39">
        <v>46097</v>
      </c>
      <c r="AT8" s="39">
        <v>46098</v>
      </c>
      <c r="AU8" s="39">
        <v>46099</v>
      </c>
      <c r="AV8" s="39">
        <v>46106</v>
      </c>
      <c r="AW8" s="39">
        <v>46107</v>
      </c>
      <c r="AX8" s="39">
        <v>46108</v>
      </c>
      <c r="AY8" s="39">
        <v>46109</v>
      </c>
      <c r="AZ8" s="39">
        <v>46111</v>
      </c>
      <c r="BA8" s="39">
        <v>46112</v>
      </c>
      <c r="BB8" s="39">
        <v>46113</v>
      </c>
      <c r="BC8" s="39">
        <v>46114</v>
      </c>
      <c r="BD8" s="39">
        <v>46115</v>
      </c>
      <c r="BE8" s="39">
        <v>46116</v>
      </c>
      <c r="BF8" s="39">
        <v>46118</v>
      </c>
      <c r="BG8" s="39">
        <v>46119</v>
      </c>
      <c r="BH8" s="39">
        <v>46120</v>
      </c>
      <c r="BI8" s="39">
        <v>46121</v>
      </c>
      <c r="BJ8" s="39">
        <v>46122</v>
      </c>
      <c r="BK8" s="39">
        <v>46123</v>
      </c>
      <c r="BL8" s="39">
        <v>46125</v>
      </c>
      <c r="BM8" s="39">
        <v>46126</v>
      </c>
      <c r="BN8" s="39">
        <v>46127</v>
      </c>
      <c r="BO8" s="39">
        <v>46128</v>
      </c>
      <c r="BP8" s="39">
        <v>46129</v>
      </c>
      <c r="BQ8" s="39">
        <v>46130</v>
      </c>
      <c r="BR8" s="39">
        <v>46132</v>
      </c>
      <c r="BS8" s="39">
        <v>46133</v>
      </c>
      <c r="BT8" s="39">
        <v>46134</v>
      </c>
      <c r="BU8" s="39">
        <v>46135</v>
      </c>
      <c r="BV8" s="39">
        <v>46136</v>
      </c>
      <c r="BW8" s="39">
        <v>46137</v>
      </c>
      <c r="BX8" s="39">
        <v>46138</v>
      </c>
      <c r="BY8" s="39">
        <v>46139</v>
      </c>
      <c r="BZ8" s="39">
        <v>46140</v>
      </c>
      <c r="CA8" s="39">
        <v>46141</v>
      </c>
      <c r="CB8" s="39">
        <v>46142</v>
      </c>
      <c r="CC8" s="39">
        <v>46143</v>
      </c>
      <c r="CD8" s="39">
        <v>46144</v>
      </c>
      <c r="CE8" s="39">
        <v>46145</v>
      </c>
      <c r="CF8" s="39">
        <v>46146</v>
      </c>
      <c r="CG8" s="39">
        <v>46147</v>
      </c>
      <c r="CH8" s="39">
        <v>46148</v>
      </c>
      <c r="CI8" s="39">
        <v>46149</v>
      </c>
      <c r="CJ8" s="39">
        <v>46150</v>
      </c>
      <c r="CK8" s="39">
        <v>46151</v>
      </c>
      <c r="CL8" s="39">
        <v>46152</v>
      </c>
      <c r="CM8" s="39">
        <v>46153</v>
      </c>
      <c r="CN8" s="39">
        <v>46154</v>
      </c>
      <c r="CO8" s="39">
        <v>46155</v>
      </c>
    </row>
    <row r="9" spans="2:93" ht="23.25" customHeight="1" x14ac:dyDescent="0.25">
      <c r="B9" s="262" t="s">
        <v>12</v>
      </c>
      <c r="C9" s="262"/>
      <c r="D9" s="262"/>
      <c r="E9" s="106" t="s">
        <v>10</v>
      </c>
      <c r="F9" s="57">
        <v>561</v>
      </c>
      <c r="G9" s="57">
        <v>324</v>
      </c>
      <c r="H9" s="58">
        <v>0</v>
      </c>
      <c r="I9" s="58">
        <v>0</v>
      </c>
      <c r="J9" s="58">
        <v>246</v>
      </c>
      <c r="K9" s="58">
        <v>264</v>
      </c>
      <c r="L9" s="59">
        <v>0</v>
      </c>
      <c r="M9" s="60">
        <v>390</v>
      </c>
      <c r="N9" s="60">
        <v>150</v>
      </c>
      <c r="O9" s="60">
        <v>420</v>
      </c>
      <c r="P9" s="60">
        <v>528</v>
      </c>
      <c r="Q9" s="60">
        <v>552</v>
      </c>
      <c r="R9" s="58">
        <v>432</v>
      </c>
      <c r="S9" s="58">
        <v>516</v>
      </c>
      <c r="T9" s="58">
        <v>528</v>
      </c>
      <c r="U9" s="58">
        <v>240</v>
      </c>
      <c r="V9" s="60">
        <v>984</v>
      </c>
      <c r="W9" s="58">
        <v>1060</v>
      </c>
      <c r="X9" s="60">
        <v>410</v>
      </c>
      <c r="Y9" s="60">
        <v>590</v>
      </c>
      <c r="Z9" s="58">
        <v>916</v>
      </c>
      <c r="AA9" s="58">
        <v>822</v>
      </c>
      <c r="AB9" s="58">
        <v>762</v>
      </c>
      <c r="AC9" s="58">
        <v>1038</v>
      </c>
      <c r="AD9" s="60">
        <v>1032</v>
      </c>
      <c r="AE9" s="58">
        <v>960</v>
      </c>
      <c r="AF9" s="60">
        <v>780</v>
      </c>
      <c r="AG9" s="60">
        <v>540</v>
      </c>
      <c r="AH9" s="58">
        <v>168</v>
      </c>
      <c r="AI9" s="58">
        <v>636</v>
      </c>
      <c r="AJ9" s="58">
        <v>456</v>
      </c>
      <c r="AK9" s="60">
        <v>504</v>
      </c>
      <c r="AL9" s="58">
        <v>0</v>
      </c>
      <c r="AM9" s="58">
        <v>0</v>
      </c>
      <c r="AN9" s="60">
        <v>504</v>
      </c>
      <c r="AO9" s="58">
        <v>504</v>
      </c>
      <c r="AP9" s="58">
        <v>708</v>
      </c>
      <c r="AQ9" s="58">
        <v>910</v>
      </c>
      <c r="AR9" s="58">
        <v>0</v>
      </c>
      <c r="AS9" s="60">
        <v>720</v>
      </c>
      <c r="AT9" s="58">
        <v>708</v>
      </c>
      <c r="AU9" s="60">
        <v>516</v>
      </c>
      <c r="AV9" s="58">
        <v>504</v>
      </c>
      <c r="AW9" s="60">
        <v>738</v>
      </c>
      <c r="AX9" s="60">
        <v>702</v>
      </c>
      <c r="AY9" s="101">
        <v>1080</v>
      </c>
      <c r="AZ9" s="58">
        <v>804</v>
      </c>
      <c r="BA9" s="58">
        <v>834</v>
      </c>
      <c r="BB9" s="58">
        <v>912</v>
      </c>
      <c r="BC9" s="60">
        <v>504</v>
      </c>
      <c r="BD9" s="58">
        <v>894</v>
      </c>
      <c r="BE9" s="60">
        <v>1020</v>
      </c>
      <c r="BF9" s="60">
        <v>1122</v>
      </c>
      <c r="BG9" s="101">
        <v>1086</v>
      </c>
      <c r="BH9" s="58">
        <v>1104</v>
      </c>
      <c r="BI9" s="58">
        <v>972</v>
      </c>
      <c r="BJ9" s="58">
        <v>882</v>
      </c>
      <c r="BK9" s="60">
        <v>756</v>
      </c>
      <c r="BL9" s="58">
        <v>1044</v>
      </c>
      <c r="BM9" s="60">
        <v>1284</v>
      </c>
      <c r="BN9" s="59">
        <v>0</v>
      </c>
      <c r="BO9" s="58">
        <v>720</v>
      </c>
      <c r="BP9" s="58">
        <v>612</v>
      </c>
      <c r="BQ9" s="58">
        <v>1036</v>
      </c>
      <c r="BR9" s="58">
        <v>1308</v>
      </c>
      <c r="BS9" s="60">
        <v>870</v>
      </c>
      <c r="BT9" s="58"/>
      <c r="BU9" s="60"/>
      <c r="BV9" s="60"/>
      <c r="BW9" s="58"/>
      <c r="BX9" s="58"/>
      <c r="BY9" s="58"/>
      <c r="BZ9" s="60"/>
      <c r="CA9" s="58"/>
      <c r="CB9" s="58"/>
      <c r="CC9" s="60"/>
      <c r="CD9" s="58"/>
      <c r="CE9" s="58"/>
      <c r="CF9" s="58"/>
      <c r="CG9" s="58"/>
      <c r="CH9" s="60"/>
      <c r="CI9" s="58"/>
      <c r="CJ9" s="60"/>
      <c r="CK9" s="58"/>
      <c r="CL9" s="60"/>
      <c r="CM9" s="60"/>
      <c r="CN9" s="101"/>
      <c r="CO9" s="58"/>
    </row>
    <row r="10" spans="2:93" ht="23.25" customHeight="1" x14ac:dyDescent="0.25">
      <c r="B10" s="262"/>
      <c r="C10" s="262"/>
      <c r="D10" s="262"/>
      <c r="E10" s="106" t="s">
        <v>6</v>
      </c>
      <c r="F10" s="50">
        <f t="shared" ref="F10:K10" si="4">F9/8</f>
        <v>70.125</v>
      </c>
      <c r="G10" s="50">
        <f t="shared" si="4"/>
        <v>40.5</v>
      </c>
      <c r="H10" s="50">
        <f t="shared" si="4"/>
        <v>0</v>
      </c>
      <c r="I10" s="50">
        <f t="shared" si="4"/>
        <v>0</v>
      </c>
      <c r="J10" s="50">
        <f t="shared" si="4"/>
        <v>30.75</v>
      </c>
      <c r="K10" s="50">
        <f t="shared" si="4"/>
        <v>33</v>
      </c>
      <c r="L10" s="50">
        <f>SUM(L9:L9)/8</f>
        <v>0</v>
      </c>
      <c r="M10" s="50">
        <f>+M9/8</f>
        <v>48.75</v>
      </c>
      <c r="N10" s="50">
        <f t="shared" ref="N10:Y10" si="5">+N9/8</f>
        <v>18.75</v>
      </c>
      <c r="O10" s="50">
        <f t="shared" si="5"/>
        <v>52.5</v>
      </c>
      <c r="P10" s="50">
        <f t="shared" si="5"/>
        <v>66</v>
      </c>
      <c r="Q10" s="50">
        <f t="shared" si="5"/>
        <v>69</v>
      </c>
      <c r="R10" s="50">
        <f t="shared" si="5"/>
        <v>54</v>
      </c>
      <c r="S10" s="50">
        <f t="shared" si="5"/>
        <v>64.5</v>
      </c>
      <c r="T10" s="50">
        <f t="shared" si="5"/>
        <v>66</v>
      </c>
      <c r="U10" s="50">
        <f t="shared" si="5"/>
        <v>30</v>
      </c>
      <c r="V10" s="50">
        <f t="shared" si="5"/>
        <v>123</v>
      </c>
      <c r="W10" s="50">
        <f>+W9/8</f>
        <v>132.5</v>
      </c>
      <c r="X10" s="50">
        <f>+X9/5</f>
        <v>82</v>
      </c>
      <c r="Y10" s="50">
        <f t="shared" si="5"/>
        <v>73.75</v>
      </c>
      <c r="Z10" s="50">
        <f t="shared" ref="Z10:AF10" si="6">+Z9/8</f>
        <v>114.5</v>
      </c>
      <c r="AA10" s="50">
        <f t="shared" si="6"/>
        <v>102.75</v>
      </c>
      <c r="AB10" s="50">
        <f>+AB9/7</f>
        <v>108.85714285714286</v>
      </c>
      <c r="AC10" s="50">
        <f>+AC9/9</f>
        <v>115.33333333333333</v>
      </c>
      <c r="AD10" s="50">
        <f>+AD9/9</f>
        <v>114.66666666666667</v>
      </c>
      <c r="AE10" s="50">
        <f>+AE9/9</f>
        <v>106.66666666666667</v>
      </c>
      <c r="AF10" s="50">
        <f t="shared" si="6"/>
        <v>97.5</v>
      </c>
      <c r="AG10" s="50">
        <f>+AG9/9</f>
        <v>60</v>
      </c>
      <c r="AH10" s="50">
        <f>+AH9/5</f>
        <v>33.6</v>
      </c>
      <c r="AI10" s="50">
        <f>+AI9/8</f>
        <v>79.5</v>
      </c>
      <c r="AJ10" s="50">
        <f>+AJ9/8</f>
        <v>57</v>
      </c>
      <c r="AK10" s="50">
        <f>+AK9/8</f>
        <v>63</v>
      </c>
      <c r="AL10" s="50">
        <f>+AL9/8</f>
        <v>0</v>
      </c>
      <c r="AM10" s="50">
        <f>+AM9/5</f>
        <v>0</v>
      </c>
      <c r="AN10" s="50">
        <f>+AN9/8</f>
        <v>63</v>
      </c>
      <c r="AO10" s="50">
        <f>+AO9/8</f>
        <v>63</v>
      </c>
      <c r="AP10" s="50">
        <f>+AP9/8</f>
        <v>88.5</v>
      </c>
      <c r="AQ10" s="50">
        <f>+AQ9/8</f>
        <v>113.75</v>
      </c>
      <c r="AR10" s="50">
        <f>+AR9/9</f>
        <v>0</v>
      </c>
      <c r="AS10" s="50">
        <f>+AS9/8</f>
        <v>90</v>
      </c>
      <c r="AT10" s="50">
        <f>+AT9/9</f>
        <v>78.666666666666671</v>
      </c>
      <c r="AU10" s="50">
        <f>+AU9/8</f>
        <v>64.5</v>
      </c>
      <c r="AV10" s="50">
        <f>+AV9/8</f>
        <v>63</v>
      </c>
      <c r="AW10" s="50">
        <f>+AW9/8</f>
        <v>92.25</v>
      </c>
      <c r="AX10" s="50">
        <f>+AX9/8</f>
        <v>87.75</v>
      </c>
      <c r="AY10" s="50">
        <f>+AY9/7</f>
        <v>154.28571428571428</v>
      </c>
      <c r="AZ10" s="50">
        <f t="shared" ref="AZ10:BF10" si="7">+AZ9/10</f>
        <v>80.400000000000006</v>
      </c>
      <c r="BA10" s="50">
        <f t="shared" si="7"/>
        <v>83.4</v>
      </c>
      <c r="BB10" s="50">
        <f t="shared" si="7"/>
        <v>91.2</v>
      </c>
      <c r="BC10" s="50">
        <f t="shared" si="7"/>
        <v>50.4</v>
      </c>
      <c r="BD10" s="50">
        <f t="shared" si="7"/>
        <v>89.4</v>
      </c>
      <c r="BE10" s="50">
        <f t="shared" si="7"/>
        <v>102</v>
      </c>
      <c r="BF10" s="50">
        <f t="shared" si="7"/>
        <v>112.2</v>
      </c>
      <c r="BG10" s="50">
        <f>+BG9/12</f>
        <v>90.5</v>
      </c>
      <c r="BH10" s="50">
        <f t="shared" ref="BH10:CO10" si="8">+BH9/12</f>
        <v>92</v>
      </c>
      <c r="BI10" s="50">
        <f t="shared" si="8"/>
        <v>81</v>
      </c>
      <c r="BJ10" s="50">
        <f t="shared" si="8"/>
        <v>73.5</v>
      </c>
      <c r="BK10" s="50">
        <f>+BK9/8</f>
        <v>94.5</v>
      </c>
      <c r="BL10" s="50">
        <f>+BL9/11</f>
        <v>94.909090909090907</v>
      </c>
      <c r="BM10" s="50">
        <f>+BM9/11</f>
        <v>116.72727272727273</v>
      </c>
      <c r="BN10" s="50">
        <f>+BN9/11</f>
        <v>0</v>
      </c>
      <c r="BO10" s="50">
        <f>+BO9/11</f>
        <v>65.454545454545453</v>
      </c>
      <c r="BP10" s="50">
        <f t="shared" si="8"/>
        <v>51</v>
      </c>
      <c r="BQ10" s="50">
        <f t="shared" si="8"/>
        <v>86.333333333333329</v>
      </c>
      <c r="BR10" s="50">
        <f t="shared" si="8"/>
        <v>109</v>
      </c>
      <c r="BS10" s="50">
        <f t="shared" si="8"/>
        <v>72.5</v>
      </c>
      <c r="BT10" s="50">
        <f t="shared" si="8"/>
        <v>0</v>
      </c>
      <c r="BU10" s="50">
        <f t="shared" si="8"/>
        <v>0</v>
      </c>
      <c r="BV10" s="50">
        <f t="shared" si="8"/>
        <v>0</v>
      </c>
      <c r="BW10" s="50">
        <f t="shared" si="8"/>
        <v>0</v>
      </c>
      <c r="BX10" s="50">
        <f t="shared" si="8"/>
        <v>0</v>
      </c>
      <c r="BY10" s="50">
        <f t="shared" si="8"/>
        <v>0</v>
      </c>
      <c r="BZ10" s="50">
        <f t="shared" si="8"/>
        <v>0</v>
      </c>
      <c r="CA10" s="50">
        <f t="shared" si="8"/>
        <v>0</v>
      </c>
      <c r="CB10" s="50">
        <f t="shared" si="8"/>
        <v>0</v>
      </c>
      <c r="CC10" s="50">
        <f t="shared" si="8"/>
        <v>0</v>
      </c>
      <c r="CD10" s="50">
        <f t="shared" si="8"/>
        <v>0</v>
      </c>
      <c r="CE10" s="50">
        <f t="shared" si="8"/>
        <v>0</v>
      </c>
      <c r="CF10" s="50">
        <f t="shared" si="8"/>
        <v>0</v>
      </c>
      <c r="CG10" s="50">
        <f t="shared" si="8"/>
        <v>0</v>
      </c>
      <c r="CH10" s="50">
        <f t="shared" si="8"/>
        <v>0</v>
      </c>
      <c r="CI10" s="50">
        <f t="shared" si="8"/>
        <v>0</v>
      </c>
      <c r="CJ10" s="50">
        <f t="shared" si="8"/>
        <v>0</v>
      </c>
      <c r="CK10" s="50">
        <f t="shared" si="8"/>
        <v>0</v>
      </c>
      <c r="CL10" s="50">
        <f t="shared" si="8"/>
        <v>0</v>
      </c>
      <c r="CM10" s="50">
        <f t="shared" si="8"/>
        <v>0</v>
      </c>
      <c r="CN10" s="50">
        <f t="shared" si="8"/>
        <v>0</v>
      </c>
      <c r="CO10" s="50">
        <f t="shared" si="8"/>
        <v>0</v>
      </c>
    </row>
    <row r="11" spans="2:93" s="12" customFormat="1" ht="23.25" customHeight="1" x14ac:dyDescent="0.25">
      <c r="B11" s="238" t="s">
        <v>9</v>
      </c>
      <c r="C11" s="262"/>
      <c r="D11" s="262"/>
      <c r="E11" s="106" t="str">
        <f>E9</f>
        <v>Output/Day</v>
      </c>
      <c r="F11" s="47"/>
      <c r="G11" s="47">
        <v>162</v>
      </c>
      <c r="H11" s="47">
        <v>198</v>
      </c>
      <c r="I11" s="47"/>
      <c r="J11" s="47">
        <v>218</v>
      </c>
      <c r="K11" s="48">
        <v>246</v>
      </c>
      <c r="L11" s="48">
        <v>165</v>
      </c>
      <c r="M11" s="48">
        <v>285</v>
      </c>
      <c r="N11" s="48">
        <v>276</v>
      </c>
      <c r="O11" s="48">
        <v>224</v>
      </c>
      <c r="P11" s="48">
        <v>339</v>
      </c>
      <c r="Q11" s="47">
        <v>333</v>
      </c>
      <c r="R11" s="47">
        <v>432</v>
      </c>
      <c r="S11" s="47">
        <v>525</v>
      </c>
      <c r="T11" s="47">
        <v>462</v>
      </c>
      <c r="U11" s="47">
        <v>450</v>
      </c>
      <c r="V11" s="48">
        <v>354</v>
      </c>
      <c r="W11" s="47">
        <v>435</v>
      </c>
      <c r="X11" s="48">
        <v>336</v>
      </c>
      <c r="Y11" s="48">
        <v>426</v>
      </c>
      <c r="Z11" s="47">
        <v>615</v>
      </c>
      <c r="AA11" s="47">
        <v>636</v>
      </c>
      <c r="AB11" s="47">
        <v>343</v>
      </c>
      <c r="AC11" s="47">
        <v>528</v>
      </c>
      <c r="AD11" s="48">
        <v>507</v>
      </c>
      <c r="AE11" s="47">
        <v>504</v>
      </c>
      <c r="AF11" s="48">
        <v>738</v>
      </c>
      <c r="AG11" s="48">
        <v>540</v>
      </c>
      <c r="AH11" s="47">
        <v>0</v>
      </c>
      <c r="AI11" s="47">
        <v>750</v>
      </c>
      <c r="AJ11" s="47">
        <v>777</v>
      </c>
      <c r="AK11" s="48">
        <v>528</v>
      </c>
      <c r="AL11" s="47">
        <v>550</v>
      </c>
      <c r="AM11" s="48">
        <v>636</v>
      </c>
      <c r="AN11" s="48">
        <v>510</v>
      </c>
      <c r="AO11" s="47">
        <v>477</v>
      </c>
      <c r="AP11" s="47">
        <v>550</v>
      </c>
      <c r="AQ11" s="47">
        <v>555</v>
      </c>
      <c r="AR11" s="47">
        <v>448</v>
      </c>
      <c r="AS11" s="48">
        <v>576</v>
      </c>
      <c r="AT11" s="47">
        <v>720</v>
      </c>
      <c r="AU11" s="48">
        <v>648</v>
      </c>
      <c r="AV11" s="47">
        <v>618</v>
      </c>
      <c r="AW11" s="48">
        <v>651</v>
      </c>
      <c r="AX11" s="48">
        <v>600</v>
      </c>
      <c r="AY11" s="47">
        <v>684</v>
      </c>
      <c r="AZ11" s="47">
        <v>694</v>
      </c>
      <c r="BA11" s="47">
        <v>738</v>
      </c>
      <c r="BB11" s="47">
        <v>702</v>
      </c>
      <c r="BC11" s="48">
        <v>624</v>
      </c>
      <c r="BD11" s="47">
        <v>788</v>
      </c>
      <c r="BE11" s="48">
        <v>689</v>
      </c>
      <c r="BF11" s="48">
        <v>664</v>
      </c>
      <c r="BG11" s="47">
        <v>720</v>
      </c>
      <c r="BH11" s="47">
        <v>775</v>
      </c>
      <c r="BI11" s="47">
        <v>679</v>
      </c>
      <c r="BJ11" s="47">
        <v>894</v>
      </c>
      <c r="BK11" s="48">
        <v>563</v>
      </c>
      <c r="BL11" s="47">
        <v>745</v>
      </c>
      <c r="BM11" s="48">
        <v>738</v>
      </c>
      <c r="BN11" s="48">
        <v>574</v>
      </c>
      <c r="BO11" s="47">
        <v>754</v>
      </c>
      <c r="BP11" s="47">
        <v>648</v>
      </c>
      <c r="BQ11" s="47">
        <v>635</v>
      </c>
      <c r="BR11" s="47">
        <v>764</v>
      </c>
      <c r="BS11" s="48">
        <v>1680</v>
      </c>
      <c r="BT11" s="47"/>
      <c r="BU11" s="48"/>
      <c r="BV11" s="48"/>
      <c r="BW11" s="47"/>
      <c r="BX11" s="47"/>
      <c r="BY11" s="47"/>
      <c r="BZ11" s="48"/>
      <c r="CA11" s="47"/>
      <c r="CB11" s="48"/>
      <c r="CC11" s="48"/>
      <c r="CD11" s="47"/>
      <c r="CE11" s="47"/>
      <c r="CF11" s="47"/>
      <c r="CG11" s="47"/>
      <c r="CH11" s="48"/>
      <c r="CI11" s="47"/>
      <c r="CJ11" s="48"/>
      <c r="CK11" s="47"/>
      <c r="CL11" s="48"/>
      <c r="CM11" s="48"/>
      <c r="CN11" s="47"/>
      <c r="CO11" s="47"/>
    </row>
    <row r="12" spans="2:93" ht="23.25" customHeight="1" x14ac:dyDescent="0.25">
      <c r="B12" s="238"/>
      <c r="C12" s="262"/>
      <c r="D12" s="262"/>
      <c r="E12" s="106" t="s">
        <v>6</v>
      </c>
      <c r="F12" s="50">
        <f t="shared" ref="F12:K12" si="9">F11/8</f>
        <v>0</v>
      </c>
      <c r="G12" s="50">
        <f t="shared" si="9"/>
        <v>20.25</v>
      </c>
      <c r="H12" s="50">
        <f t="shared" si="9"/>
        <v>24.75</v>
      </c>
      <c r="I12" s="50">
        <f t="shared" si="9"/>
        <v>0</v>
      </c>
      <c r="J12" s="50">
        <f t="shared" si="9"/>
        <v>27.25</v>
      </c>
      <c r="K12" s="50">
        <f t="shared" si="9"/>
        <v>30.75</v>
      </c>
      <c r="L12" s="50">
        <f t="shared" ref="L12:R12" si="10">+L11/8</f>
        <v>20.625</v>
      </c>
      <c r="M12" s="50">
        <f t="shared" si="10"/>
        <v>35.625</v>
      </c>
      <c r="N12" s="50">
        <f t="shared" si="10"/>
        <v>34.5</v>
      </c>
      <c r="O12" s="50">
        <f t="shared" si="10"/>
        <v>28</v>
      </c>
      <c r="P12" s="50">
        <f t="shared" si="10"/>
        <v>42.375</v>
      </c>
      <c r="Q12" s="50">
        <f t="shared" si="10"/>
        <v>41.625</v>
      </c>
      <c r="R12" s="50">
        <f t="shared" si="10"/>
        <v>54</v>
      </c>
      <c r="S12" s="50">
        <f>+S11/9</f>
        <v>58.333333333333336</v>
      </c>
      <c r="T12" s="50">
        <f>+T11/9</f>
        <v>51.333333333333336</v>
      </c>
      <c r="U12" s="50">
        <f>+U11/9</f>
        <v>50</v>
      </c>
      <c r="V12" s="50">
        <f>+V11/9</f>
        <v>39.333333333333336</v>
      </c>
      <c r="W12" s="50">
        <f>+W11/9</f>
        <v>48.333333333333336</v>
      </c>
      <c r="X12" s="50">
        <f>+X11/7</f>
        <v>48</v>
      </c>
      <c r="Y12" s="50">
        <f>+Y11/9</f>
        <v>47.333333333333336</v>
      </c>
      <c r="Z12" s="50">
        <f>+Z11/10</f>
        <v>61.5</v>
      </c>
      <c r="AA12" s="50">
        <f>+AA11/9</f>
        <v>70.666666666666671</v>
      </c>
      <c r="AB12" s="50">
        <f>+AB11/7</f>
        <v>49</v>
      </c>
      <c r="AC12" s="50">
        <f>+AC11/10</f>
        <v>52.8</v>
      </c>
      <c r="AD12" s="50">
        <f>+AD11/10</f>
        <v>50.7</v>
      </c>
      <c r="AE12" s="50">
        <f>+AE11/10</f>
        <v>50.4</v>
      </c>
      <c r="AF12" s="50">
        <f>+AF11/10</f>
        <v>73.8</v>
      </c>
      <c r="AG12" s="50">
        <f>+AG11/10</f>
        <v>54</v>
      </c>
      <c r="AH12" s="50">
        <f>+AH11/8</f>
        <v>0</v>
      </c>
      <c r="AI12" s="50">
        <f>+AI11/10</f>
        <v>75</v>
      </c>
      <c r="AJ12" s="50">
        <f>+AJ11/10</f>
        <v>77.7</v>
      </c>
      <c r="AK12" s="50">
        <f>+AK11/8</f>
        <v>66</v>
      </c>
      <c r="AL12" s="50">
        <f>+AL11/8</f>
        <v>68.75</v>
      </c>
      <c r="AM12" s="50">
        <f>+AM11/10</f>
        <v>63.6</v>
      </c>
      <c r="AN12" s="50">
        <f>+AN11/9</f>
        <v>56.666666666666664</v>
      </c>
      <c r="AO12" s="50">
        <f t="shared" ref="AO12:AY12" si="11">+AO11/10</f>
        <v>47.7</v>
      </c>
      <c r="AP12" s="50">
        <f t="shared" si="11"/>
        <v>55</v>
      </c>
      <c r="AQ12" s="50">
        <f t="shared" si="11"/>
        <v>55.5</v>
      </c>
      <c r="AR12" s="50">
        <f t="shared" si="11"/>
        <v>44.8</v>
      </c>
      <c r="AS12" s="50">
        <f t="shared" si="11"/>
        <v>57.6</v>
      </c>
      <c r="AT12" s="50">
        <f t="shared" si="11"/>
        <v>72</v>
      </c>
      <c r="AU12" s="50">
        <f t="shared" si="11"/>
        <v>64.8</v>
      </c>
      <c r="AV12" s="50">
        <f t="shared" si="11"/>
        <v>61.8</v>
      </c>
      <c r="AW12" s="50">
        <f t="shared" si="11"/>
        <v>65.099999999999994</v>
      </c>
      <c r="AX12" s="50">
        <f t="shared" si="11"/>
        <v>60</v>
      </c>
      <c r="AY12" s="50">
        <f t="shared" si="11"/>
        <v>68.400000000000006</v>
      </c>
      <c r="AZ12" s="50">
        <f t="shared" ref="AZ12:BF12" si="12">+AZ11/11</f>
        <v>63.090909090909093</v>
      </c>
      <c r="BA12" s="50">
        <f t="shared" si="12"/>
        <v>67.090909090909093</v>
      </c>
      <c r="BB12" s="50">
        <f t="shared" si="12"/>
        <v>63.81818181818182</v>
      </c>
      <c r="BC12" s="50">
        <f t="shared" si="12"/>
        <v>56.727272727272727</v>
      </c>
      <c r="BD12" s="50">
        <f t="shared" si="12"/>
        <v>71.63636363636364</v>
      </c>
      <c r="BE12" s="50">
        <f t="shared" si="12"/>
        <v>62.636363636363633</v>
      </c>
      <c r="BF12" s="50">
        <f t="shared" si="12"/>
        <v>60.363636363636367</v>
      </c>
      <c r="BG12" s="50">
        <f>+BG11/12</f>
        <v>60</v>
      </c>
      <c r="BH12" s="50">
        <f t="shared" ref="BH12:CO12" si="13">+BH11/12</f>
        <v>64.583333333333329</v>
      </c>
      <c r="BI12" s="50">
        <f t="shared" si="13"/>
        <v>56.583333333333336</v>
      </c>
      <c r="BJ12" s="50">
        <f t="shared" si="13"/>
        <v>74.5</v>
      </c>
      <c r="BK12" s="50">
        <f>+BK11/10</f>
        <v>56.3</v>
      </c>
      <c r="BL12" s="50">
        <f t="shared" si="13"/>
        <v>62.083333333333336</v>
      </c>
      <c r="BM12" s="50">
        <f t="shared" si="13"/>
        <v>61.5</v>
      </c>
      <c r="BN12" s="50">
        <f t="shared" si="13"/>
        <v>47.833333333333336</v>
      </c>
      <c r="BO12" s="50">
        <f t="shared" si="13"/>
        <v>62.833333333333336</v>
      </c>
      <c r="BP12" s="50">
        <f t="shared" si="13"/>
        <v>54</v>
      </c>
      <c r="BQ12" s="50">
        <f t="shared" si="13"/>
        <v>52.916666666666664</v>
      </c>
      <c r="BR12" s="50">
        <f t="shared" si="13"/>
        <v>63.666666666666664</v>
      </c>
      <c r="BS12" s="50">
        <f t="shared" si="13"/>
        <v>140</v>
      </c>
      <c r="BT12" s="50">
        <f t="shared" si="13"/>
        <v>0</v>
      </c>
      <c r="BU12" s="50">
        <f t="shared" si="13"/>
        <v>0</v>
      </c>
      <c r="BV12" s="50">
        <f t="shared" si="13"/>
        <v>0</v>
      </c>
      <c r="BW12" s="50">
        <f t="shared" si="13"/>
        <v>0</v>
      </c>
      <c r="BX12" s="50">
        <f t="shared" si="13"/>
        <v>0</v>
      </c>
      <c r="BY12" s="50">
        <f t="shared" si="13"/>
        <v>0</v>
      </c>
      <c r="BZ12" s="50">
        <f t="shared" si="13"/>
        <v>0</v>
      </c>
      <c r="CA12" s="50">
        <f t="shared" si="13"/>
        <v>0</v>
      </c>
      <c r="CB12" s="50">
        <f t="shared" si="13"/>
        <v>0</v>
      </c>
      <c r="CC12" s="50">
        <f t="shared" si="13"/>
        <v>0</v>
      </c>
      <c r="CD12" s="50">
        <f t="shared" si="13"/>
        <v>0</v>
      </c>
      <c r="CE12" s="50">
        <f t="shared" si="13"/>
        <v>0</v>
      </c>
      <c r="CF12" s="50">
        <f t="shared" si="13"/>
        <v>0</v>
      </c>
      <c r="CG12" s="50">
        <f t="shared" si="13"/>
        <v>0</v>
      </c>
      <c r="CH12" s="50">
        <f t="shared" si="13"/>
        <v>0</v>
      </c>
      <c r="CI12" s="50">
        <f t="shared" si="13"/>
        <v>0</v>
      </c>
      <c r="CJ12" s="50">
        <f t="shared" si="13"/>
        <v>0</v>
      </c>
      <c r="CK12" s="50">
        <f t="shared" si="13"/>
        <v>0</v>
      </c>
      <c r="CL12" s="50">
        <f t="shared" si="13"/>
        <v>0</v>
      </c>
      <c r="CM12" s="50">
        <f t="shared" si="13"/>
        <v>0</v>
      </c>
      <c r="CN12" s="50">
        <f t="shared" si="13"/>
        <v>0</v>
      </c>
      <c r="CO12" s="50">
        <f t="shared" si="13"/>
        <v>0</v>
      </c>
    </row>
    <row r="13" spans="2:93" s="12" customFormat="1" ht="23.25" customHeight="1" x14ac:dyDescent="0.25">
      <c r="B13" s="238" t="s">
        <v>8</v>
      </c>
      <c r="C13" s="262"/>
      <c r="D13" s="262"/>
      <c r="E13" s="106" t="str">
        <f>E9</f>
        <v>Output/Day</v>
      </c>
      <c r="F13" s="61"/>
      <c r="G13" s="61">
        <v>48</v>
      </c>
      <c r="H13" s="61">
        <v>174</v>
      </c>
      <c r="I13" s="61"/>
      <c r="J13" s="61">
        <v>301</v>
      </c>
      <c r="K13" s="108">
        <v>272</v>
      </c>
      <c r="L13" s="108">
        <v>300</v>
      </c>
      <c r="M13" s="108">
        <v>332</v>
      </c>
      <c r="N13" s="108">
        <v>240</v>
      </c>
      <c r="O13" s="108">
        <v>480</v>
      </c>
      <c r="P13" s="108">
        <v>480</v>
      </c>
      <c r="Q13" s="61">
        <v>240</v>
      </c>
      <c r="R13" s="61">
        <v>402</v>
      </c>
      <c r="S13" s="61">
        <v>481</v>
      </c>
      <c r="T13" s="61">
        <v>510</v>
      </c>
      <c r="U13" s="61">
        <v>504</v>
      </c>
      <c r="V13" s="108">
        <v>354</v>
      </c>
      <c r="W13" s="61">
        <v>426</v>
      </c>
      <c r="X13" s="108">
        <v>300</v>
      </c>
      <c r="Y13" s="108">
        <v>600</v>
      </c>
      <c r="Z13" s="61">
        <v>660</v>
      </c>
      <c r="AA13" s="61">
        <v>540</v>
      </c>
      <c r="AB13" s="61">
        <v>402</v>
      </c>
      <c r="AC13" s="61">
        <v>702</v>
      </c>
      <c r="AD13" s="108">
        <v>703</v>
      </c>
      <c r="AE13" s="61">
        <v>578</v>
      </c>
      <c r="AF13" s="108">
        <v>730</v>
      </c>
      <c r="AG13" s="108">
        <v>702</v>
      </c>
      <c r="AH13" s="61">
        <v>420</v>
      </c>
      <c r="AI13" s="61">
        <v>804</v>
      </c>
      <c r="AJ13" s="61">
        <v>674</v>
      </c>
      <c r="AK13" s="108">
        <v>702</v>
      </c>
      <c r="AL13" s="61">
        <v>702</v>
      </c>
      <c r="AM13" s="108">
        <v>660</v>
      </c>
      <c r="AN13" s="108">
        <v>660</v>
      </c>
      <c r="AO13" s="61">
        <v>600</v>
      </c>
      <c r="AP13" s="61">
        <v>504</v>
      </c>
      <c r="AQ13" s="61">
        <v>607</v>
      </c>
      <c r="AR13" s="61">
        <v>504</v>
      </c>
      <c r="AS13" s="108">
        <v>702</v>
      </c>
      <c r="AT13" s="61">
        <v>786</v>
      </c>
      <c r="AU13" s="108">
        <v>702</v>
      </c>
      <c r="AV13" s="61">
        <v>630</v>
      </c>
      <c r="AW13" s="108">
        <v>708</v>
      </c>
      <c r="AX13" s="108">
        <v>768</v>
      </c>
      <c r="AY13" s="61">
        <v>852</v>
      </c>
      <c r="AZ13" s="61">
        <v>852</v>
      </c>
      <c r="BA13" s="61">
        <v>900</v>
      </c>
      <c r="BB13" s="61">
        <v>900</v>
      </c>
      <c r="BC13" s="108">
        <v>900</v>
      </c>
      <c r="BD13" s="61">
        <v>840</v>
      </c>
      <c r="BE13" s="108">
        <v>864</v>
      </c>
      <c r="BF13" s="108">
        <v>880</v>
      </c>
      <c r="BG13" s="61">
        <v>840</v>
      </c>
      <c r="BH13" s="61">
        <v>852</v>
      </c>
      <c r="BI13" s="61">
        <v>900</v>
      </c>
      <c r="BJ13" s="61">
        <v>900</v>
      </c>
      <c r="BK13" s="108">
        <v>804</v>
      </c>
      <c r="BL13" s="61">
        <v>900</v>
      </c>
      <c r="BM13" s="108">
        <v>900</v>
      </c>
      <c r="BN13" s="108">
        <v>864</v>
      </c>
      <c r="BO13" s="61">
        <v>840</v>
      </c>
      <c r="BP13" s="61">
        <v>840</v>
      </c>
      <c r="BQ13" s="61">
        <v>864</v>
      </c>
      <c r="BR13" s="61">
        <v>900</v>
      </c>
      <c r="BS13" s="108">
        <v>960</v>
      </c>
      <c r="BT13" s="61"/>
      <c r="BU13" s="108"/>
      <c r="BV13" s="108"/>
      <c r="BW13" s="61"/>
      <c r="BX13" s="61"/>
      <c r="BY13" s="61"/>
      <c r="BZ13" s="108"/>
      <c r="CA13" s="61"/>
      <c r="CB13" s="108"/>
      <c r="CC13" s="108"/>
      <c r="CD13" s="61"/>
      <c r="CE13" s="61"/>
      <c r="CF13" s="61"/>
      <c r="CG13" s="61"/>
      <c r="CH13" s="108"/>
      <c r="CI13" s="61"/>
      <c r="CJ13" s="108"/>
      <c r="CK13" s="61"/>
      <c r="CL13" s="108"/>
      <c r="CM13" s="108"/>
      <c r="CN13" s="61"/>
      <c r="CO13" s="61"/>
    </row>
    <row r="14" spans="2:93" ht="23.25" customHeight="1" x14ac:dyDescent="0.25">
      <c r="B14" s="238"/>
      <c r="C14" s="262"/>
      <c r="D14" s="262"/>
      <c r="E14" s="106" t="s">
        <v>6</v>
      </c>
      <c r="F14" s="50">
        <f t="shared" ref="F14:K14" si="14">F13/8</f>
        <v>0</v>
      </c>
      <c r="G14" s="50">
        <f t="shared" si="14"/>
        <v>6</v>
      </c>
      <c r="H14" s="50">
        <f t="shared" si="14"/>
        <v>21.75</v>
      </c>
      <c r="I14" s="50">
        <f t="shared" si="14"/>
        <v>0</v>
      </c>
      <c r="J14" s="50">
        <f t="shared" si="14"/>
        <v>37.625</v>
      </c>
      <c r="K14" s="50">
        <f t="shared" si="14"/>
        <v>34</v>
      </c>
      <c r="L14" s="50">
        <f t="shared" ref="L14:R14" si="15">+L13/8</f>
        <v>37.5</v>
      </c>
      <c r="M14" s="50">
        <f t="shared" si="15"/>
        <v>41.5</v>
      </c>
      <c r="N14" s="50">
        <f t="shared" si="15"/>
        <v>30</v>
      </c>
      <c r="O14" s="50">
        <f t="shared" si="15"/>
        <v>60</v>
      </c>
      <c r="P14" s="50">
        <f t="shared" si="15"/>
        <v>60</v>
      </c>
      <c r="Q14" s="50">
        <f t="shared" si="15"/>
        <v>30</v>
      </c>
      <c r="R14" s="50">
        <f t="shared" si="15"/>
        <v>50.25</v>
      </c>
      <c r="S14" s="50">
        <f>+S13/9</f>
        <v>53.444444444444443</v>
      </c>
      <c r="T14" s="50">
        <f>+T13/9</f>
        <v>56.666666666666664</v>
      </c>
      <c r="U14" s="50">
        <f>+U13/9</f>
        <v>56</v>
      </c>
      <c r="V14" s="50">
        <f>+V13/9</f>
        <v>39.333333333333336</v>
      </c>
      <c r="W14" s="50">
        <f>+W13/9</f>
        <v>47.333333333333336</v>
      </c>
      <c r="X14" s="50">
        <f>+X13/7</f>
        <v>42.857142857142854</v>
      </c>
      <c r="Y14" s="50">
        <f>+Y13/10</f>
        <v>60</v>
      </c>
      <c r="Z14" s="50">
        <f>+Z13/10</f>
        <v>66</v>
      </c>
      <c r="AA14" s="50">
        <f>+AA13/9</f>
        <v>60</v>
      </c>
      <c r="AB14" s="50">
        <f>+AB13/7</f>
        <v>57.428571428571431</v>
      </c>
      <c r="AC14" s="50">
        <f>+AC13/10</f>
        <v>70.2</v>
      </c>
      <c r="AD14" s="50">
        <f>+AD13/10</f>
        <v>70.3</v>
      </c>
      <c r="AE14" s="50">
        <f>+AE13/10</f>
        <v>57.8</v>
      </c>
      <c r="AF14" s="50">
        <f>+AF13/10</f>
        <v>73</v>
      </c>
      <c r="AG14" s="50">
        <f>+AG13/10</f>
        <v>70.2</v>
      </c>
      <c r="AH14" s="50">
        <f>+AH13/7</f>
        <v>60</v>
      </c>
      <c r="AI14" s="50">
        <f t="shared" ref="AI14:AO14" si="16">+AI13/10</f>
        <v>80.400000000000006</v>
      </c>
      <c r="AJ14" s="50">
        <f t="shared" si="16"/>
        <v>67.400000000000006</v>
      </c>
      <c r="AK14" s="50">
        <f t="shared" si="16"/>
        <v>70.2</v>
      </c>
      <c r="AL14" s="50">
        <f t="shared" si="16"/>
        <v>70.2</v>
      </c>
      <c r="AM14" s="50">
        <f t="shared" si="16"/>
        <v>66</v>
      </c>
      <c r="AN14" s="50">
        <f t="shared" si="16"/>
        <v>66</v>
      </c>
      <c r="AO14" s="50">
        <f t="shared" si="16"/>
        <v>60</v>
      </c>
      <c r="AP14" s="50">
        <f t="shared" ref="AP14:AY14" si="17">+AP13/10</f>
        <v>50.4</v>
      </c>
      <c r="AQ14" s="50">
        <f t="shared" si="17"/>
        <v>60.7</v>
      </c>
      <c r="AR14" s="50">
        <f t="shared" si="17"/>
        <v>50.4</v>
      </c>
      <c r="AS14" s="50">
        <f t="shared" si="17"/>
        <v>70.2</v>
      </c>
      <c r="AT14" s="50">
        <f t="shared" si="17"/>
        <v>78.599999999999994</v>
      </c>
      <c r="AU14" s="50">
        <f t="shared" si="17"/>
        <v>70.2</v>
      </c>
      <c r="AV14" s="50">
        <f t="shared" si="17"/>
        <v>63</v>
      </c>
      <c r="AW14" s="50">
        <f t="shared" si="17"/>
        <v>70.8</v>
      </c>
      <c r="AX14" s="50">
        <f t="shared" si="17"/>
        <v>76.8</v>
      </c>
      <c r="AY14" s="50">
        <f t="shared" si="17"/>
        <v>85.2</v>
      </c>
      <c r="AZ14" s="50">
        <f t="shared" ref="AZ14:BF14" si="18">+AZ13/11</f>
        <v>77.454545454545453</v>
      </c>
      <c r="BA14" s="50">
        <f t="shared" si="18"/>
        <v>81.818181818181813</v>
      </c>
      <c r="BB14" s="50">
        <f t="shared" si="18"/>
        <v>81.818181818181813</v>
      </c>
      <c r="BC14" s="50">
        <f t="shared" si="18"/>
        <v>81.818181818181813</v>
      </c>
      <c r="BD14" s="50">
        <f t="shared" si="18"/>
        <v>76.36363636363636</v>
      </c>
      <c r="BE14" s="50">
        <f t="shared" si="18"/>
        <v>78.545454545454547</v>
      </c>
      <c r="BF14" s="50">
        <f t="shared" si="18"/>
        <v>80</v>
      </c>
      <c r="BG14" s="50">
        <f>+BG13/12</f>
        <v>70</v>
      </c>
      <c r="BH14" s="50">
        <f t="shared" ref="BH14:CO14" si="19">+BH13/12</f>
        <v>71</v>
      </c>
      <c r="BI14" s="50">
        <f t="shared" si="19"/>
        <v>75</v>
      </c>
      <c r="BJ14" s="50">
        <f t="shared" si="19"/>
        <v>75</v>
      </c>
      <c r="BK14" s="50">
        <f>+BK13/10</f>
        <v>80.400000000000006</v>
      </c>
      <c r="BL14" s="50">
        <f t="shared" si="19"/>
        <v>75</v>
      </c>
      <c r="BM14" s="50">
        <f t="shared" si="19"/>
        <v>75</v>
      </c>
      <c r="BN14" s="50">
        <f t="shared" si="19"/>
        <v>72</v>
      </c>
      <c r="BO14" s="50">
        <f t="shared" si="19"/>
        <v>70</v>
      </c>
      <c r="BP14" s="50">
        <f t="shared" si="19"/>
        <v>70</v>
      </c>
      <c r="BQ14" s="50">
        <f t="shared" si="19"/>
        <v>72</v>
      </c>
      <c r="BR14" s="50">
        <f t="shared" si="19"/>
        <v>75</v>
      </c>
      <c r="BS14" s="50">
        <f t="shared" si="19"/>
        <v>80</v>
      </c>
      <c r="BT14" s="50">
        <f t="shared" si="19"/>
        <v>0</v>
      </c>
      <c r="BU14" s="50">
        <f t="shared" si="19"/>
        <v>0</v>
      </c>
      <c r="BV14" s="50">
        <f t="shared" si="19"/>
        <v>0</v>
      </c>
      <c r="BW14" s="50">
        <f t="shared" si="19"/>
        <v>0</v>
      </c>
      <c r="BX14" s="50">
        <f t="shared" si="19"/>
        <v>0</v>
      </c>
      <c r="BY14" s="50">
        <f t="shared" si="19"/>
        <v>0</v>
      </c>
      <c r="BZ14" s="50">
        <f t="shared" si="19"/>
        <v>0</v>
      </c>
      <c r="CA14" s="50">
        <f t="shared" si="19"/>
        <v>0</v>
      </c>
      <c r="CB14" s="50">
        <f t="shared" si="19"/>
        <v>0</v>
      </c>
      <c r="CC14" s="50">
        <f t="shared" si="19"/>
        <v>0</v>
      </c>
      <c r="CD14" s="50">
        <f t="shared" si="19"/>
        <v>0</v>
      </c>
      <c r="CE14" s="50">
        <f t="shared" si="19"/>
        <v>0</v>
      </c>
      <c r="CF14" s="50">
        <f t="shared" si="19"/>
        <v>0</v>
      </c>
      <c r="CG14" s="50">
        <f t="shared" si="19"/>
        <v>0</v>
      </c>
      <c r="CH14" s="50">
        <f t="shared" si="19"/>
        <v>0</v>
      </c>
      <c r="CI14" s="50">
        <f t="shared" si="19"/>
        <v>0</v>
      </c>
      <c r="CJ14" s="50">
        <f t="shared" si="19"/>
        <v>0</v>
      </c>
      <c r="CK14" s="50">
        <f t="shared" si="19"/>
        <v>0</v>
      </c>
      <c r="CL14" s="50">
        <f t="shared" si="19"/>
        <v>0</v>
      </c>
      <c r="CM14" s="50">
        <f t="shared" si="19"/>
        <v>0</v>
      </c>
      <c r="CN14" s="50">
        <f t="shared" si="19"/>
        <v>0</v>
      </c>
      <c r="CO14" s="50">
        <f t="shared" si="19"/>
        <v>0</v>
      </c>
    </row>
    <row r="15" spans="2:93" s="12" customFormat="1" ht="23.25" customHeight="1" x14ac:dyDescent="0.25">
      <c r="B15" s="238" t="s">
        <v>13</v>
      </c>
      <c r="C15" s="262"/>
      <c r="D15" s="262"/>
      <c r="E15" s="106" t="str">
        <f>E11</f>
        <v>Output/Day</v>
      </c>
      <c r="F15" s="61"/>
      <c r="G15" s="61">
        <v>48</v>
      </c>
      <c r="H15" s="61">
        <v>174</v>
      </c>
      <c r="I15" s="61"/>
      <c r="J15" s="61">
        <v>301</v>
      </c>
      <c r="K15" s="108">
        <v>272</v>
      </c>
      <c r="L15" s="108">
        <v>300</v>
      </c>
      <c r="M15" s="108">
        <v>332</v>
      </c>
      <c r="N15" s="108">
        <v>240</v>
      </c>
      <c r="O15" s="108">
        <v>480</v>
      </c>
      <c r="P15" s="108">
        <v>480</v>
      </c>
      <c r="Q15" s="61">
        <v>240</v>
      </c>
      <c r="R15" s="61">
        <v>0</v>
      </c>
      <c r="S15" s="61">
        <v>0</v>
      </c>
      <c r="T15" s="61">
        <v>0</v>
      </c>
      <c r="U15" s="61">
        <v>0</v>
      </c>
      <c r="V15" s="69">
        <v>0</v>
      </c>
      <c r="W15" s="61">
        <v>0</v>
      </c>
      <c r="X15" s="69">
        <v>0</v>
      </c>
      <c r="Y15" s="69">
        <v>0</v>
      </c>
      <c r="Z15" s="61">
        <v>164</v>
      </c>
      <c r="AA15" s="61">
        <v>615</v>
      </c>
      <c r="AB15" s="61">
        <v>0</v>
      </c>
      <c r="AC15" s="61">
        <v>835</v>
      </c>
      <c r="AD15" s="111">
        <v>875</v>
      </c>
      <c r="AE15" s="61">
        <v>900</v>
      </c>
      <c r="AF15" s="108">
        <v>950</v>
      </c>
      <c r="AG15" s="108">
        <v>940</v>
      </c>
      <c r="AH15" s="61">
        <v>600</v>
      </c>
      <c r="AI15" s="61">
        <v>1060</v>
      </c>
      <c r="AJ15" s="61">
        <v>1050</v>
      </c>
      <c r="AK15" s="61">
        <v>1025</v>
      </c>
      <c r="AL15" s="44">
        <v>1080</v>
      </c>
      <c r="AM15" s="61">
        <v>1050</v>
      </c>
      <c r="AN15" s="61">
        <v>840</v>
      </c>
      <c r="AO15" s="61">
        <v>870</v>
      </c>
      <c r="AP15" s="61">
        <v>830</v>
      </c>
      <c r="AQ15" s="61">
        <v>862</v>
      </c>
      <c r="AR15" s="61">
        <v>930</v>
      </c>
      <c r="AS15" s="61">
        <v>950</v>
      </c>
      <c r="AT15" s="61">
        <v>850</v>
      </c>
      <c r="AU15" s="61">
        <v>1000</v>
      </c>
      <c r="AV15" s="61">
        <v>836</v>
      </c>
      <c r="AW15" s="61">
        <v>740</v>
      </c>
      <c r="AX15" s="61">
        <v>1050</v>
      </c>
      <c r="AY15" s="61">
        <v>674</v>
      </c>
      <c r="AZ15" s="61">
        <v>863</v>
      </c>
      <c r="BA15" s="61">
        <v>855</v>
      </c>
      <c r="BB15" s="61">
        <v>845</v>
      </c>
      <c r="BC15" s="61">
        <v>935</v>
      </c>
      <c r="BD15" s="61">
        <v>760</v>
      </c>
      <c r="BE15" s="61">
        <v>760</v>
      </c>
      <c r="BF15" s="61">
        <v>770</v>
      </c>
      <c r="BG15" s="61">
        <v>803</v>
      </c>
      <c r="BH15" s="61">
        <v>815</v>
      </c>
      <c r="BI15" s="61">
        <v>580</v>
      </c>
      <c r="BJ15" s="61">
        <v>800</v>
      </c>
      <c r="BK15" s="69">
        <v>0</v>
      </c>
      <c r="BL15" s="61">
        <v>1000</v>
      </c>
      <c r="BM15" s="69">
        <v>800</v>
      </c>
      <c r="BN15" s="69">
        <v>1080</v>
      </c>
      <c r="BO15" s="61">
        <v>780</v>
      </c>
      <c r="BP15" s="61">
        <v>480</v>
      </c>
      <c r="BQ15" s="61">
        <v>631</v>
      </c>
      <c r="BR15" s="61">
        <v>950</v>
      </c>
      <c r="BS15" s="111">
        <v>1160</v>
      </c>
      <c r="BT15" s="61"/>
      <c r="BU15" s="108"/>
      <c r="BV15" s="108"/>
      <c r="BW15" s="61"/>
      <c r="BX15" s="61"/>
      <c r="BY15" s="61"/>
      <c r="BZ15" s="61"/>
      <c r="CA15" s="44"/>
      <c r="CB15" s="61"/>
      <c r="CC15" s="61"/>
      <c r="CD15" s="61"/>
      <c r="CE15" s="61"/>
      <c r="CF15" s="61"/>
      <c r="CG15" s="61"/>
      <c r="CH15" s="61"/>
      <c r="CI15" s="61"/>
      <c r="CJ15" s="61"/>
      <c r="CK15" s="61"/>
      <c r="CL15" s="61"/>
      <c r="CM15" s="61"/>
      <c r="CN15" s="61"/>
      <c r="CO15" s="61"/>
    </row>
    <row r="16" spans="2:93" ht="23.25" customHeight="1" x14ac:dyDescent="0.25">
      <c r="B16" s="238"/>
      <c r="C16" s="262"/>
      <c r="D16" s="262"/>
      <c r="E16" s="106" t="s">
        <v>6</v>
      </c>
      <c r="F16" s="50">
        <f t="shared" ref="F16:K16" si="20">F15/8</f>
        <v>0</v>
      </c>
      <c r="G16" s="50">
        <f t="shared" si="20"/>
        <v>6</v>
      </c>
      <c r="H16" s="50">
        <f t="shared" si="20"/>
        <v>21.75</v>
      </c>
      <c r="I16" s="50">
        <f t="shared" si="20"/>
        <v>0</v>
      </c>
      <c r="J16" s="50">
        <f t="shared" si="20"/>
        <v>37.625</v>
      </c>
      <c r="K16" s="50">
        <f t="shared" si="20"/>
        <v>34</v>
      </c>
      <c r="L16" s="50">
        <f t="shared" ref="L16:R16" si="21">+L15/8</f>
        <v>37.5</v>
      </c>
      <c r="M16" s="50">
        <f t="shared" si="21"/>
        <v>41.5</v>
      </c>
      <c r="N16" s="50">
        <f t="shared" si="21"/>
        <v>30</v>
      </c>
      <c r="O16" s="50">
        <f t="shared" si="21"/>
        <v>60</v>
      </c>
      <c r="P16" s="50">
        <f t="shared" si="21"/>
        <v>60</v>
      </c>
      <c r="Q16" s="50">
        <f t="shared" si="21"/>
        <v>30</v>
      </c>
      <c r="R16" s="50">
        <f t="shared" si="21"/>
        <v>0</v>
      </c>
      <c r="S16" s="50">
        <f>+S15/9</f>
        <v>0</v>
      </c>
      <c r="T16" s="50">
        <f>+T15/9</f>
        <v>0</v>
      </c>
      <c r="U16" s="50">
        <f>+U15/9</f>
        <v>0</v>
      </c>
      <c r="V16" s="50">
        <f>+V15/9</f>
        <v>0</v>
      </c>
      <c r="W16" s="50">
        <f>+W15/9</f>
        <v>0</v>
      </c>
      <c r="X16" s="50">
        <f>+X15/7</f>
        <v>0</v>
      </c>
      <c r="Y16" s="50">
        <f>+Y15/10</f>
        <v>0</v>
      </c>
      <c r="Z16" s="50">
        <f>+Z15/10</f>
        <v>16.399999999999999</v>
      </c>
      <c r="AA16" s="50">
        <f>+AA15/9</f>
        <v>68.333333333333329</v>
      </c>
      <c r="AB16" s="50">
        <f>+AB15/7</f>
        <v>0</v>
      </c>
      <c r="AC16" s="50">
        <f>+AC15/9</f>
        <v>92.777777777777771</v>
      </c>
      <c r="AD16" s="50">
        <f>+AD15/9</f>
        <v>97.222222222222229</v>
      </c>
      <c r="AE16" s="50">
        <f>+AE15/9</f>
        <v>100</v>
      </c>
      <c r="AF16" s="50">
        <f>+AF15/9</f>
        <v>105.55555555555556</v>
      </c>
      <c r="AG16" s="50">
        <f>+AG15/9</f>
        <v>104.44444444444444</v>
      </c>
      <c r="AH16" s="50">
        <f>+AH15/5</f>
        <v>120</v>
      </c>
      <c r="AI16" s="50">
        <f>+AI15/9</f>
        <v>117.77777777777777</v>
      </c>
      <c r="AJ16" s="50">
        <f>+AJ15/9</f>
        <v>116.66666666666667</v>
      </c>
      <c r="AK16" s="50">
        <f>+AK15/9</f>
        <v>113.88888888888889</v>
      </c>
      <c r="AL16" s="50">
        <f>+AL15/9</f>
        <v>120</v>
      </c>
      <c r="AM16" s="50">
        <f>+AM15/10</f>
        <v>105</v>
      </c>
      <c r="AN16" s="50">
        <f>+AN15/10</f>
        <v>84</v>
      </c>
      <c r="AO16" s="50">
        <f t="shared" ref="AO16:AX16" si="22">+AO15/9</f>
        <v>96.666666666666671</v>
      </c>
      <c r="AP16" s="50">
        <f t="shared" si="22"/>
        <v>92.222222222222229</v>
      </c>
      <c r="AQ16" s="50">
        <f t="shared" si="22"/>
        <v>95.777777777777771</v>
      </c>
      <c r="AR16" s="50">
        <f t="shared" si="22"/>
        <v>103.33333333333333</v>
      </c>
      <c r="AS16" s="50">
        <f t="shared" si="22"/>
        <v>105.55555555555556</v>
      </c>
      <c r="AT16" s="50">
        <f t="shared" si="22"/>
        <v>94.444444444444443</v>
      </c>
      <c r="AU16" s="50">
        <f t="shared" si="22"/>
        <v>111.11111111111111</v>
      </c>
      <c r="AV16" s="50">
        <f t="shared" si="22"/>
        <v>92.888888888888886</v>
      </c>
      <c r="AW16" s="50">
        <f t="shared" si="22"/>
        <v>82.222222222222229</v>
      </c>
      <c r="AX16" s="50">
        <f t="shared" si="22"/>
        <v>116.66666666666667</v>
      </c>
      <c r="AY16" s="50">
        <f>+AY15/7</f>
        <v>96.285714285714292</v>
      </c>
      <c r="AZ16" s="50">
        <f>+AZ15/12</f>
        <v>71.916666666666671</v>
      </c>
      <c r="BA16" s="50">
        <f t="shared" ref="BA16:BG16" si="23">+BA15/11</f>
        <v>77.727272727272734</v>
      </c>
      <c r="BB16" s="50">
        <f t="shared" si="23"/>
        <v>76.818181818181813</v>
      </c>
      <c r="BC16" s="50">
        <f t="shared" si="23"/>
        <v>85</v>
      </c>
      <c r="BD16" s="50">
        <f t="shared" si="23"/>
        <v>69.090909090909093</v>
      </c>
      <c r="BE16" s="50">
        <f t="shared" si="23"/>
        <v>69.090909090909093</v>
      </c>
      <c r="BF16" s="50">
        <f t="shared" si="23"/>
        <v>70</v>
      </c>
      <c r="BG16" s="50">
        <f t="shared" si="23"/>
        <v>73</v>
      </c>
      <c r="BH16" s="50">
        <f>+BH15/12</f>
        <v>67.916666666666671</v>
      </c>
      <c r="BI16" s="50">
        <f>+BI15/10</f>
        <v>58</v>
      </c>
      <c r="BJ16" s="50">
        <f t="shared" ref="BJ16:CO16" si="24">+BJ15/11</f>
        <v>72.727272727272734</v>
      </c>
      <c r="BK16" s="50">
        <f t="shared" si="24"/>
        <v>0</v>
      </c>
      <c r="BL16" s="50">
        <f t="shared" si="24"/>
        <v>90.909090909090907</v>
      </c>
      <c r="BM16" s="50">
        <f>+BM15/10</f>
        <v>80</v>
      </c>
      <c r="BN16" s="50">
        <f>+BN15/10</f>
        <v>108</v>
      </c>
      <c r="BO16" s="50">
        <f>+BO15/10</f>
        <v>78</v>
      </c>
      <c r="BP16" s="50">
        <f t="shared" si="24"/>
        <v>43.636363636363633</v>
      </c>
      <c r="BQ16" s="50">
        <f t="shared" si="24"/>
        <v>57.363636363636367</v>
      </c>
      <c r="BR16" s="50">
        <f t="shared" si="24"/>
        <v>86.36363636363636</v>
      </c>
      <c r="BS16" s="50">
        <f t="shared" si="24"/>
        <v>105.45454545454545</v>
      </c>
      <c r="BT16" s="50">
        <f t="shared" si="24"/>
        <v>0</v>
      </c>
      <c r="BU16" s="50">
        <f t="shared" si="24"/>
        <v>0</v>
      </c>
      <c r="BV16" s="50">
        <f t="shared" si="24"/>
        <v>0</v>
      </c>
      <c r="BW16" s="50">
        <f t="shared" si="24"/>
        <v>0</v>
      </c>
      <c r="BX16" s="50">
        <f t="shared" si="24"/>
        <v>0</v>
      </c>
      <c r="BY16" s="50">
        <f t="shared" si="24"/>
        <v>0</v>
      </c>
      <c r="BZ16" s="50">
        <f t="shared" si="24"/>
        <v>0</v>
      </c>
      <c r="CA16" s="50">
        <f t="shared" si="24"/>
        <v>0</v>
      </c>
      <c r="CB16" s="50">
        <f t="shared" si="24"/>
        <v>0</v>
      </c>
      <c r="CC16" s="50">
        <f t="shared" si="24"/>
        <v>0</v>
      </c>
      <c r="CD16" s="50">
        <f t="shared" si="24"/>
        <v>0</v>
      </c>
      <c r="CE16" s="50">
        <f t="shared" si="24"/>
        <v>0</v>
      </c>
      <c r="CF16" s="50">
        <f t="shared" si="24"/>
        <v>0</v>
      </c>
      <c r="CG16" s="50">
        <f t="shared" si="24"/>
        <v>0</v>
      </c>
      <c r="CH16" s="50">
        <f t="shared" si="24"/>
        <v>0</v>
      </c>
      <c r="CI16" s="50">
        <f t="shared" si="24"/>
        <v>0</v>
      </c>
      <c r="CJ16" s="50">
        <f t="shared" si="24"/>
        <v>0</v>
      </c>
      <c r="CK16" s="50">
        <f t="shared" si="24"/>
        <v>0</v>
      </c>
      <c r="CL16" s="50">
        <f t="shared" si="24"/>
        <v>0</v>
      </c>
      <c r="CM16" s="50">
        <f t="shared" si="24"/>
        <v>0</v>
      </c>
      <c r="CN16" s="50">
        <f t="shared" si="24"/>
        <v>0</v>
      </c>
      <c r="CO16" s="50">
        <f t="shared" si="24"/>
        <v>0</v>
      </c>
    </row>
    <row r="17" spans="2:93" ht="16.5" x14ac:dyDescent="0.25">
      <c r="B17" s="302" t="s">
        <v>11</v>
      </c>
      <c r="C17" s="302"/>
      <c r="D17" s="302"/>
      <c r="E17" s="302"/>
      <c r="F17" s="51">
        <v>12</v>
      </c>
      <c r="G17" s="51">
        <v>12</v>
      </c>
      <c r="H17" s="51">
        <v>12</v>
      </c>
      <c r="I17" s="51">
        <v>12</v>
      </c>
      <c r="J17" s="51">
        <v>12</v>
      </c>
      <c r="K17" s="51">
        <v>24</v>
      </c>
      <c r="L17" s="51">
        <v>24</v>
      </c>
      <c r="M17" s="51">
        <v>24</v>
      </c>
      <c r="N17" s="51">
        <v>24</v>
      </c>
      <c r="O17" s="51">
        <v>24</v>
      </c>
      <c r="P17" s="51">
        <v>24</v>
      </c>
      <c r="Q17" s="51">
        <v>48</v>
      </c>
      <c r="R17" s="51">
        <v>48</v>
      </c>
      <c r="S17" s="51">
        <v>48</v>
      </c>
      <c r="T17" s="51">
        <v>48</v>
      </c>
      <c r="U17" s="51">
        <v>48</v>
      </c>
      <c r="V17" s="51">
        <v>60</v>
      </c>
      <c r="W17" s="51">
        <v>60</v>
      </c>
      <c r="X17" s="51">
        <v>60</v>
      </c>
      <c r="Y17" s="51">
        <v>60</v>
      </c>
      <c r="Z17" s="51">
        <v>60</v>
      </c>
      <c r="AA17" s="51">
        <v>72</v>
      </c>
      <c r="AB17" s="51">
        <v>72</v>
      </c>
      <c r="AC17" s="51">
        <v>72</v>
      </c>
      <c r="AD17" s="51">
        <v>72</v>
      </c>
      <c r="AE17" s="51">
        <v>72</v>
      </c>
      <c r="AF17" s="51">
        <v>84</v>
      </c>
      <c r="AG17" s="51">
        <v>84</v>
      </c>
      <c r="AH17" s="51">
        <v>84</v>
      </c>
      <c r="AI17" s="51">
        <v>84</v>
      </c>
      <c r="AJ17" s="51">
        <v>84</v>
      </c>
      <c r="AK17" s="51">
        <v>96</v>
      </c>
      <c r="AL17" s="51">
        <v>96</v>
      </c>
      <c r="AM17" s="51">
        <v>96</v>
      </c>
      <c r="AN17" s="51">
        <v>96</v>
      </c>
      <c r="AO17" s="51">
        <v>96</v>
      </c>
      <c r="AP17" s="51">
        <v>108</v>
      </c>
      <c r="AQ17" s="51">
        <v>108</v>
      </c>
      <c r="AR17" s="51">
        <v>108</v>
      </c>
      <c r="AS17" s="51">
        <v>108</v>
      </c>
      <c r="AT17" s="51">
        <v>108</v>
      </c>
      <c r="AU17" s="51">
        <v>120</v>
      </c>
      <c r="AV17" s="51">
        <v>120</v>
      </c>
      <c r="AW17" s="51">
        <v>120</v>
      </c>
      <c r="AX17" s="51">
        <v>120</v>
      </c>
      <c r="AY17" s="51">
        <v>120</v>
      </c>
      <c r="AZ17" s="51">
        <v>120</v>
      </c>
      <c r="BA17" s="51">
        <v>120</v>
      </c>
      <c r="BB17" s="51">
        <v>120</v>
      </c>
      <c r="BC17" s="51">
        <v>120</v>
      </c>
      <c r="BD17" s="51">
        <v>120</v>
      </c>
      <c r="BE17" s="51">
        <v>120</v>
      </c>
      <c r="BF17" s="51">
        <v>120</v>
      </c>
      <c r="BG17" s="51">
        <v>120</v>
      </c>
      <c r="BH17" s="51">
        <v>120</v>
      </c>
      <c r="BI17" s="51">
        <v>120</v>
      </c>
      <c r="BJ17" s="51">
        <v>120</v>
      </c>
      <c r="BK17" s="51">
        <v>120</v>
      </c>
      <c r="BL17" s="51">
        <v>120</v>
      </c>
      <c r="BM17" s="51">
        <v>120</v>
      </c>
      <c r="BN17" s="51">
        <v>120</v>
      </c>
      <c r="BO17" s="51">
        <v>120</v>
      </c>
      <c r="BP17" s="51">
        <v>120</v>
      </c>
      <c r="BQ17" s="51">
        <v>120</v>
      </c>
      <c r="BR17" s="51">
        <v>120</v>
      </c>
      <c r="BS17" s="51">
        <v>120</v>
      </c>
      <c r="BT17" s="51">
        <v>120</v>
      </c>
      <c r="BU17" s="51">
        <v>120</v>
      </c>
      <c r="BV17" s="51">
        <v>120</v>
      </c>
      <c r="BW17" s="51">
        <v>120</v>
      </c>
      <c r="BX17" s="51">
        <v>120</v>
      </c>
      <c r="BY17" s="51">
        <v>120</v>
      </c>
      <c r="BZ17" s="51">
        <v>120</v>
      </c>
      <c r="CA17" s="51">
        <v>120</v>
      </c>
      <c r="CB17" s="51">
        <v>120</v>
      </c>
      <c r="CC17" s="51">
        <v>120</v>
      </c>
      <c r="CD17" s="51">
        <v>120</v>
      </c>
      <c r="CE17" s="51">
        <v>120</v>
      </c>
      <c r="CF17" s="51">
        <v>120</v>
      </c>
      <c r="CG17" s="51">
        <v>120</v>
      </c>
      <c r="CH17" s="51">
        <v>120</v>
      </c>
      <c r="CI17" s="51">
        <v>120</v>
      </c>
      <c r="CJ17" s="51">
        <v>120</v>
      </c>
      <c r="CK17" s="51">
        <v>120</v>
      </c>
      <c r="CL17" s="51">
        <v>120</v>
      </c>
      <c r="CM17" s="51">
        <v>120</v>
      </c>
      <c r="CN17" s="51">
        <v>120</v>
      </c>
      <c r="CO17" s="51">
        <v>120</v>
      </c>
    </row>
    <row r="18" spans="2:93" ht="16.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</row>
    <row r="19" spans="2:93" ht="16.5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</row>
    <row r="20" spans="2:93" ht="16.5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</row>
    <row r="21" spans="2:93" ht="16.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</row>
    <row r="22" spans="2:93" ht="16.5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</row>
    <row r="23" spans="2:93" ht="16.5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</row>
    <row r="24" spans="2:93" ht="16.5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</row>
    <row r="25" spans="2:93" ht="16.5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</row>
    <row r="26" spans="2:93" ht="16.5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</row>
    <row r="27" spans="2:93" ht="16.5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</row>
    <row r="28" spans="2:93" ht="16.5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</row>
    <row r="30" spans="2:93" ht="16.5" hidden="1" customHeight="1" x14ac:dyDescent="0.25"/>
    <row r="31" spans="2:93" ht="16.5" hidden="1" customHeight="1" x14ac:dyDescent="0.25"/>
    <row r="32" spans="2:93" ht="16.5" hidden="1" customHeight="1" x14ac:dyDescent="0.25"/>
    <row r="33" ht="16.5" hidden="1" customHeight="1" x14ac:dyDescent="0.25"/>
    <row r="34" ht="16.5" hidden="1" customHeight="1" x14ac:dyDescent="0.25"/>
    <row r="35" ht="16.5" hidden="1" customHeight="1" x14ac:dyDescent="0.25"/>
    <row r="36" ht="16.5" hidden="1" customHeight="1" x14ac:dyDescent="0.25"/>
    <row r="37" ht="16.5" hidden="1" customHeight="1" x14ac:dyDescent="0.25"/>
    <row r="38" ht="16.5" hidden="1" customHeight="1" x14ac:dyDescent="0.25"/>
    <row r="39" ht="16.5" hidden="1" customHeight="1" x14ac:dyDescent="0.25"/>
    <row r="40" ht="16.5" hidden="1" customHeight="1" x14ac:dyDescent="0.25"/>
    <row r="41" ht="16.5" hidden="1" customHeight="1" x14ac:dyDescent="0.25"/>
    <row r="42" ht="16.5" hidden="1" customHeight="1" x14ac:dyDescent="0.25"/>
    <row r="45" ht="15" hidden="1" customHeight="1" x14ac:dyDescent="0.25"/>
    <row r="46" ht="15" hidden="1" customHeight="1" x14ac:dyDescent="0.25"/>
    <row r="47" ht="15" hidden="1" customHeight="1" x14ac:dyDescent="0.25"/>
    <row r="48" ht="15" hidden="1" customHeight="1" x14ac:dyDescent="0.25"/>
    <row r="49" ht="15" hidden="1" customHeight="1" x14ac:dyDescent="0.25"/>
    <row r="50" ht="15" hidden="1" customHeight="1" x14ac:dyDescent="0.25"/>
    <row r="51" ht="15" hidden="1" customHeight="1" x14ac:dyDescent="0.25"/>
    <row r="52" ht="15" hidden="1" customHeight="1" x14ac:dyDescent="0.25"/>
    <row r="53" ht="15" hidden="1" customHeight="1" x14ac:dyDescent="0.25"/>
    <row r="54" ht="15" hidden="1" customHeight="1" x14ac:dyDescent="0.25"/>
    <row r="55" ht="15" hidden="1" customHeight="1" x14ac:dyDescent="0.25"/>
    <row r="56" ht="15" hidden="1" customHeight="1" x14ac:dyDescent="0.25"/>
    <row r="57" ht="15" hidden="1" customHeight="1" x14ac:dyDescent="0.25"/>
    <row r="58" ht="15" hidden="1" customHeight="1" x14ac:dyDescent="0.25"/>
    <row r="59" ht="15" hidden="1" customHeight="1" x14ac:dyDescent="0.25"/>
    <row r="60" ht="15" hidden="1" customHeight="1" x14ac:dyDescent="0.25"/>
  </sheetData>
  <mergeCells count="19">
    <mergeCell ref="B1:Y2"/>
    <mergeCell ref="B4:E4"/>
    <mergeCell ref="B6:B8"/>
    <mergeCell ref="C6:D7"/>
    <mergeCell ref="E6:E8"/>
    <mergeCell ref="R6:CO6"/>
    <mergeCell ref="B9:B10"/>
    <mergeCell ref="C9:C10"/>
    <mergeCell ref="D9:D10"/>
    <mergeCell ref="B17:E17"/>
    <mergeCell ref="B11:B12"/>
    <mergeCell ref="C11:C12"/>
    <mergeCell ref="D11:D12"/>
    <mergeCell ref="B13:B14"/>
    <mergeCell ref="C13:C14"/>
    <mergeCell ref="D13:D14"/>
    <mergeCell ref="B15:B16"/>
    <mergeCell ref="C15:C16"/>
    <mergeCell ref="D15:D16"/>
  </mergeCells>
  <conditionalFormatting sqref="Y11 F11 L11:P11 AH11:AM11 AH13:AM13 AH15:BF15 AH9:AM9">
    <cfRule type="containsBlanks" dxfId="380" priority="154">
      <formula>LEN(TRIM(F9))=0</formula>
    </cfRule>
  </conditionalFormatting>
  <conditionalFormatting sqref="F9 Y9 L9:P9">
    <cfRule type="containsBlanks" dxfId="379" priority="152">
      <formula>LEN(TRIM(F9))=0</formula>
    </cfRule>
  </conditionalFormatting>
  <conditionalFormatting sqref="Q11:X11">
    <cfRule type="containsBlanks" dxfId="378" priority="149">
      <formula>LEN(TRIM(Q11))=0</formula>
    </cfRule>
  </conditionalFormatting>
  <conditionalFormatting sqref="R9:X9">
    <cfRule type="containsBlanks" dxfId="377" priority="147">
      <formula>LEN(TRIM(R9))=0</formula>
    </cfRule>
  </conditionalFormatting>
  <conditionalFormatting sqref="Q9">
    <cfRule type="containsBlanks" dxfId="376" priority="146">
      <formula>LEN(TRIM(Q9))=0</formula>
    </cfRule>
  </conditionalFormatting>
  <conditionalFormatting sqref="Y13 F13 L13:P13">
    <cfRule type="containsBlanks" dxfId="375" priority="144">
      <formula>LEN(TRIM(F13))=0</formula>
    </cfRule>
  </conditionalFormatting>
  <conditionalFormatting sqref="Q13:X13">
    <cfRule type="containsBlanks" dxfId="374" priority="142">
      <formula>LEN(TRIM(Q13))=0</formula>
    </cfRule>
  </conditionalFormatting>
  <conditionalFormatting sqref="K9">
    <cfRule type="containsBlanks" dxfId="373" priority="138">
      <formula>LEN(TRIM(K9))=0</formula>
    </cfRule>
  </conditionalFormatting>
  <conditionalFormatting sqref="K11">
    <cfRule type="containsBlanks" dxfId="372" priority="136">
      <formula>LEN(TRIM(K11))=0</formula>
    </cfRule>
  </conditionalFormatting>
  <conditionalFormatting sqref="K13">
    <cfRule type="containsBlanks" dxfId="371" priority="134">
      <formula>LEN(TRIM(K13))=0</formula>
    </cfRule>
  </conditionalFormatting>
  <conditionalFormatting sqref="G11">
    <cfRule type="containsBlanks" dxfId="370" priority="125">
      <formula>LEN(TRIM(G11))=0</formula>
    </cfRule>
  </conditionalFormatting>
  <conditionalFormatting sqref="G9">
    <cfRule type="containsBlanks" dxfId="369" priority="124">
      <formula>LEN(TRIM(G9))=0</formula>
    </cfRule>
  </conditionalFormatting>
  <conditionalFormatting sqref="G13">
    <cfRule type="containsBlanks" dxfId="368" priority="122">
      <formula>LEN(TRIM(G13))=0</formula>
    </cfRule>
  </conditionalFormatting>
  <conditionalFormatting sqref="J9">
    <cfRule type="containsBlanks" dxfId="367" priority="120">
      <formula>LEN(TRIM(J9))=0</formula>
    </cfRule>
  </conditionalFormatting>
  <conditionalFormatting sqref="J11">
    <cfRule type="containsBlanks" dxfId="366" priority="119">
      <formula>LEN(TRIM(J11))=0</formula>
    </cfRule>
  </conditionalFormatting>
  <conditionalFormatting sqref="J13">
    <cfRule type="containsBlanks" dxfId="365" priority="117">
      <formula>LEN(TRIM(J13))=0</formula>
    </cfRule>
  </conditionalFormatting>
  <conditionalFormatting sqref="I11">
    <cfRule type="containsBlanks" dxfId="364" priority="114">
      <formula>LEN(TRIM(I11))=0</formula>
    </cfRule>
  </conditionalFormatting>
  <conditionalFormatting sqref="I9">
    <cfRule type="containsBlanks" dxfId="363" priority="113">
      <formula>LEN(TRIM(I9))=0</formula>
    </cfRule>
  </conditionalFormatting>
  <conditionalFormatting sqref="I13">
    <cfRule type="containsBlanks" dxfId="362" priority="112">
      <formula>LEN(TRIM(I13))=0</formula>
    </cfRule>
  </conditionalFormatting>
  <conditionalFormatting sqref="H11">
    <cfRule type="containsBlanks" dxfId="361" priority="107">
      <formula>LEN(TRIM(H11))=0</formula>
    </cfRule>
  </conditionalFormatting>
  <conditionalFormatting sqref="H9">
    <cfRule type="containsBlanks" dxfId="360" priority="106">
      <formula>LEN(TRIM(H9))=0</formula>
    </cfRule>
  </conditionalFormatting>
  <conditionalFormatting sqref="H13">
    <cfRule type="containsBlanks" dxfId="359" priority="104">
      <formula>LEN(TRIM(H13))=0</formula>
    </cfRule>
  </conditionalFormatting>
  <conditionalFormatting sqref="AG11">
    <cfRule type="containsBlanks" dxfId="358" priority="78">
      <formula>LEN(TRIM(AG11))=0</formula>
    </cfRule>
  </conditionalFormatting>
  <conditionalFormatting sqref="AG9">
    <cfRule type="containsBlanks" dxfId="357" priority="77">
      <formula>LEN(TRIM(AG9))=0</formula>
    </cfRule>
  </conditionalFormatting>
  <conditionalFormatting sqref="Z11:AF11">
    <cfRule type="containsBlanks" dxfId="356" priority="76">
      <formula>LEN(TRIM(Z11))=0</formula>
    </cfRule>
  </conditionalFormatting>
  <conditionalFormatting sqref="Z9:AF9">
    <cfRule type="containsBlanks" dxfId="355" priority="75">
      <formula>LEN(TRIM(Z9))=0</formula>
    </cfRule>
  </conditionalFormatting>
  <conditionalFormatting sqref="AG13">
    <cfRule type="containsBlanks" dxfId="354" priority="74">
      <formula>LEN(TRIM(AG13))=0</formula>
    </cfRule>
  </conditionalFormatting>
  <conditionalFormatting sqref="Z13:AF13">
    <cfRule type="containsBlanks" dxfId="353" priority="73">
      <formula>LEN(TRIM(Z13))=0</formula>
    </cfRule>
  </conditionalFormatting>
  <conditionalFormatting sqref="Y15 F15 L15:P15">
    <cfRule type="containsBlanks" dxfId="352" priority="72">
      <formula>LEN(TRIM(F15))=0</formula>
    </cfRule>
  </conditionalFormatting>
  <conditionalFormatting sqref="Q15:X15">
    <cfRule type="containsBlanks" dxfId="351" priority="71">
      <formula>LEN(TRIM(Q15))=0</formula>
    </cfRule>
  </conditionalFormatting>
  <conditionalFormatting sqref="K15">
    <cfRule type="containsBlanks" dxfId="350" priority="70">
      <formula>LEN(TRIM(K15))=0</formula>
    </cfRule>
  </conditionalFormatting>
  <conditionalFormatting sqref="G15">
    <cfRule type="containsBlanks" dxfId="349" priority="69">
      <formula>LEN(TRIM(G15))=0</formula>
    </cfRule>
  </conditionalFormatting>
  <conditionalFormatting sqref="J15">
    <cfRule type="containsBlanks" dxfId="348" priority="68">
      <formula>LEN(TRIM(J15))=0</formula>
    </cfRule>
  </conditionalFormatting>
  <conditionalFormatting sqref="I15">
    <cfRule type="containsBlanks" dxfId="347" priority="67">
      <formula>LEN(TRIM(I15))=0</formula>
    </cfRule>
  </conditionalFormatting>
  <conditionalFormatting sqref="H15">
    <cfRule type="containsBlanks" dxfId="346" priority="66">
      <formula>LEN(TRIM(H15))=0</formula>
    </cfRule>
  </conditionalFormatting>
  <conditionalFormatting sqref="AG15">
    <cfRule type="containsBlanks" dxfId="345" priority="63">
      <formula>LEN(TRIM(AG15))=0</formula>
    </cfRule>
  </conditionalFormatting>
  <conditionalFormatting sqref="Z15:AF15">
    <cfRule type="containsBlanks" dxfId="344" priority="62">
      <formula>LEN(TRIM(Z15))=0</formula>
    </cfRule>
  </conditionalFormatting>
  <conditionalFormatting sqref="AN11">
    <cfRule type="containsBlanks" dxfId="343" priority="61">
      <formula>LEN(TRIM(AN11))=0</formula>
    </cfRule>
  </conditionalFormatting>
  <conditionalFormatting sqref="AN9">
    <cfRule type="containsBlanks" dxfId="342" priority="60">
      <formula>LEN(TRIM(AN9))=0</formula>
    </cfRule>
  </conditionalFormatting>
  <conditionalFormatting sqref="AN13">
    <cfRule type="containsBlanks" dxfId="341" priority="57">
      <formula>LEN(TRIM(AN13))=0</formula>
    </cfRule>
  </conditionalFormatting>
  <conditionalFormatting sqref="AV11">
    <cfRule type="containsBlanks" dxfId="340" priority="55">
      <formula>LEN(TRIM(AV11))=0</formula>
    </cfRule>
  </conditionalFormatting>
  <conditionalFormatting sqref="AV9">
    <cfRule type="containsBlanks" dxfId="339" priority="54">
      <formula>LEN(TRIM(AV9))=0</formula>
    </cfRule>
  </conditionalFormatting>
  <conditionalFormatting sqref="AO11:AU11">
    <cfRule type="containsBlanks" dxfId="338" priority="53">
      <formula>LEN(TRIM(AO11))=0</formula>
    </cfRule>
  </conditionalFormatting>
  <conditionalFormatting sqref="AO9:AU9">
    <cfRule type="containsBlanks" dxfId="337" priority="52">
      <formula>LEN(TRIM(AO9))=0</formula>
    </cfRule>
  </conditionalFormatting>
  <conditionalFormatting sqref="AV13">
    <cfRule type="containsBlanks" dxfId="336" priority="51">
      <formula>LEN(TRIM(AV13))=0</formula>
    </cfRule>
  </conditionalFormatting>
  <conditionalFormatting sqref="AO13:AU13">
    <cfRule type="containsBlanks" dxfId="335" priority="50">
      <formula>LEN(TRIM(AO13))=0</formula>
    </cfRule>
  </conditionalFormatting>
  <conditionalFormatting sqref="AV11:AW11 AV9:AW9 AV13:AW13">
    <cfRule type="containsBlanks" dxfId="334" priority="45">
      <formula>LEN(TRIM(AV9))=0</formula>
    </cfRule>
  </conditionalFormatting>
  <conditionalFormatting sqref="AX11">
    <cfRule type="containsBlanks" dxfId="333" priority="44">
      <formula>LEN(TRIM(AX11))=0</formula>
    </cfRule>
  </conditionalFormatting>
  <conditionalFormatting sqref="AX9">
    <cfRule type="containsBlanks" dxfId="332" priority="43">
      <formula>LEN(TRIM(AX9))=0</formula>
    </cfRule>
  </conditionalFormatting>
  <conditionalFormatting sqref="AX13">
    <cfRule type="containsBlanks" dxfId="331" priority="42">
      <formula>LEN(TRIM(AX13))=0</formula>
    </cfRule>
  </conditionalFormatting>
  <conditionalFormatting sqref="BF11">
    <cfRule type="containsBlanks" dxfId="330" priority="41">
      <formula>LEN(TRIM(BF11))=0</formula>
    </cfRule>
  </conditionalFormatting>
  <conditionalFormatting sqref="BF9">
    <cfRule type="containsBlanks" dxfId="329" priority="40">
      <formula>LEN(TRIM(BF9))=0</formula>
    </cfRule>
  </conditionalFormatting>
  <conditionalFormatting sqref="AY11:BE11">
    <cfRule type="containsBlanks" dxfId="328" priority="39">
      <formula>LEN(TRIM(AY11))=0</formula>
    </cfRule>
  </conditionalFormatting>
  <conditionalFormatting sqref="AY9:BE9">
    <cfRule type="containsBlanks" dxfId="327" priority="38">
      <formula>LEN(TRIM(AY9))=0</formula>
    </cfRule>
  </conditionalFormatting>
  <conditionalFormatting sqref="BF13">
    <cfRule type="containsBlanks" dxfId="326" priority="37">
      <formula>LEN(TRIM(BF13))=0</formula>
    </cfRule>
  </conditionalFormatting>
  <conditionalFormatting sqref="AY13:BE13">
    <cfRule type="containsBlanks" dxfId="325" priority="36">
      <formula>LEN(TRIM(AY13))=0</formula>
    </cfRule>
  </conditionalFormatting>
  <conditionalFormatting sqref="BN11 BW11:CB11 BW13:CB13 BW15:CO15 BW9:CB9">
    <cfRule type="containsBlanks" dxfId="324" priority="32">
      <formula>LEN(TRIM(BN9))=0</formula>
    </cfRule>
  </conditionalFormatting>
  <conditionalFormatting sqref="BN9">
    <cfRule type="containsBlanks" dxfId="323" priority="31">
      <formula>LEN(TRIM(BN9))=0</formula>
    </cfRule>
  </conditionalFormatting>
  <conditionalFormatting sqref="BG11:BM11">
    <cfRule type="containsBlanks" dxfId="322" priority="30">
      <formula>LEN(TRIM(BG11))=0</formula>
    </cfRule>
  </conditionalFormatting>
  <conditionalFormatting sqref="BG9:BM9">
    <cfRule type="containsBlanks" dxfId="321" priority="29">
      <formula>LEN(TRIM(BG9))=0</formula>
    </cfRule>
  </conditionalFormatting>
  <conditionalFormatting sqref="BN13">
    <cfRule type="containsBlanks" dxfId="320" priority="28">
      <formula>LEN(TRIM(BN13))=0</formula>
    </cfRule>
  </conditionalFormatting>
  <conditionalFormatting sqref="BG13:BM13">
    <cfRule type="containsBlanks" dxfId="319" priority="27">
      <formula>LEN(TRIM(BG13))=0</formula>
    </cfRule>
  </conditionalFormatting>
  <conditionalFormatting sqref="BV11">
    <cfRule type="containsBlanks" dxfId="318" priority="26">
      <formula>LEN(TRIM(BV11))=0</formula>
    </cfRule>
  </conditionalFormatting>
  <conditionalFormatting sqref="BV9">
    <cfRule type="containsBlanks" dxfId="317" priority="25">
      <formula>LEN(TRIM(BV9))=0</formula>
    </cfRule>
  </conditionalFormatting>
  <conditionalFormatting sqref="BO11:BU11">
    <cfRule type="containsBlanks" dxfId="316" priority="24">
      <formula>LEN(TRIM(BO11))=0</formula>
    </cfRule>
  </conditionalFormatting>
  <conditionalFormatting sqref="BO9:BU9">
    <cfRule type="containsBlanks" dxfId="315" priority="23">
      <formula>LEN(TRIM(BO9))=0</formula>
    </cfRule>
  </conditionalFormatting>
  <conditionalFormatting sqref="BV13">
    <cfRule type="containsBlanks" dxfId="314" priority="22">
      <formula>LEN(TRIM(BV13))=0</formula>
    </cfRule>
  </conditionalFormatting>
  <conditionalFormatting sqref="BO13:BU13">
    <cfRule type="containsBlanks" dxfId="313" priority="21">
      <formula>LEN(TRIM(BO13))=0</formula>
    </cfRule>
  </conditionalFormatting>
  <conditionalFormatting sqref="BN15">
    <cfRule type="containsBlanks" dxfId="312" priority="20">
      <formula>LEN(TRIM(BN15))=0</formula>
    </cfRule>
  </conditionalFormatting>
  <conditionalFormatting sqref="BG15:BM15">
    <cfRule type="containsBlanks" dxfId="311" priority="19">
      <formula>LEN(TRIM(BG15))=0</formula>
    </cfRule>
  </conditionalFormatting>
  <conditionalFormatting sqref="BV15">
    <cfRule type="containsBlanks" dxfId="310" priority="18">
      <formula>LEN(TRIM(BV15))=0</formula>
    </cfRule>
  </conditionalFormatting>
  <conditionalFormatting sqref="BO15:BU15">
    <cfRule type="containsBlanks" dxfId="309" priority="17">
      <formula>LEN(TRIM(BO15))=0</formula>
    </cfRule>
  </conditionalFormatting>
  <conditionalFormatting sqref="CC11">
    <cfRule type="containsBlanks" dxfId="308" priority="16">
      <formula>LEN(TRIM(CC11))=0</formula>
    </cfRule>
  </conditionalFormatting>
  <conditionalFormatting sqref="CC9">
    <cfRule type="containsBlanks" dxfId="307" priority="15">
      <formula>LEN(TRIM(CC9))=0</formula>
    </cfRule>
  </conditionalFormatting>
  <conditionalFormatting sqref="CC13">
    <cfRule type="containsBlanks" dxfId="306" priority="14">
      <formula>LEN(TRIM(CC13))=0</formula>
    </cfRule>
  </conditionalFormatting>
  <conditionalFormatting sqref="CK11">
    <cfRule type="containsBlanks" dxfId="305" priority="13">
      <formula>LEN(TRIM(CK11))=0</formula>
    </cfRule>
  </conditionalFormatting>
  <conditionalFormatting sqref="CK9">
    <cfRule type="containsBlanks" dxfId="304" priority="12">
      <formula>LEN(TRIM(CK9))=0</formula>
    </cfRule>
  </conditionalFormatting>
  <conditionalFormatting sqref="CD11:CJ11">
    <cfRule type="containsBlanks" dxfId="303" priority="11">
      <formula>LEN(TRIM(CD11))=0</formula>
    </cfRule>
  </conditionalFormatting>
  <conditionalFormatting sqref="CD9:CJ9">
    <cfRule type="containsBlanks" dxfId="302" priority="10">
      <formula>LEN(TRIM(CD9))=0</formula>
    </cfRule>
  </conditionalFormatting>
  <conditionalFormatting sqref="CK13">
    <cfRule type="containsBlanks" dxfId="301" priority="9">
      <formula>LEN(TRIM(CK13))=0</formula>
    </cfRule>
  </conditionalFormatting>
  <conditionalFormatting sqref="CD13:CJ13">
    <cfRule type="containsBlanks" dxfId="300" priority="8">
      <formula>LEN(TRIM(CD13))=0</formula>
    </cfRule>
  </conditionalFormatting>
  <conditionalFormatting sqref="CK11:CL11 CK9:CL9 CK13:CL13">
    <cfRule type="containsBlanks" dxfId="299" priority="7">
      <formula>LEN(TRIM(CK9))=0</formula>
    </cfRule>
  </conditionalFormatting>
  <conditionalFormatting sqref="CM11">
    <cfRule type="containsBlanks" dxfId="298" priority="6">
      <formula>LEN(TRIM(CM11))=0</formula>
    </cfRule>
  </conditionalFormatting>
  <conditionalFormatting sqref="CM9">
    <cfRule type="containsBlanks" dxfId="297" priority="5">
      <formula>LEN(TRIM(CM9))=0</formula>
    </cfRule>
  </conditionalFormatting>
  <conditionalFormatting sqref="CM13">
    <cfRule type="containsBlanks" dxfId="296" priority="4">
      <formula>LEN(TRIM(CM13))=0</formula>
    </cfRule>
  </conditionalFormatting>
  <conditionalFormatting sqref="CN11:CO11">
    <cfRule type="containsBlanks" dxfId="295" priority="3">
      <formula>LEN(TRIM(CN11))=0</formula>
    </cfRule>
  </conditionalFormatting>
  <conditionalFormatting sqref="CN9:CO9">
    <cfRule type="containsBlanks" dxfId="294" priority="2">
      <formula>LEN(TRIM(CN9))=0</formula>
    </cfRule>
  </conditionalFormatting>
  <conditionalFormatting sqref="CN13:CO13">
    <cfRule type="containsBlanks" dxfId="293" priority="1">
      <formula>LEN(TRIM(CN13))=0</formula>
    </cfRule>
  </conditionalFormatting>
  <printOptions horizontalCentered="1" verticalCentered="1"/>
  <pageMargins left="0.2" right="0" top="0" bottom="0" header="0" footer="0"/>
  <pageSetup paperSize="9" scale="71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G64"/>
  <sheetViews>
    <sheetView showGridLines="0" topLeftCell="AB3" zoomScale="85" zoomScaleNormal="85" workbookViewId="0">
      <selection activeCell="AO16" sqref="AO16"/>
    </sheetView>
  </sheetViews>
  <sheetFormatPr defaultRowHeight="15" x14ac:dyDescent="0.25"/>
  <cols>
    <col min="1" max="1" width="4" customWidth="1"/>
    <col min="2" max="2" width="26" customWidth="1"/>
    <col min="3" max="4" width="7.5703125" hidden="1" customWidth="1"/>
    <col min="5" max="5" width="27.28515625" customWidth="1"/>
    <col min="6" max="6" width="6.7109375" hidden="1" customWidth="1"/>
    <col min="7" max="7" width="7.7109375" hidden="1" customWidth="1"/>
    <col min="8" max="21" width="6.7109375" hidden="1" customWidth="1"/>
    <col min="22" max="22" width="6.85546875" hidden="1" customWidth="1"/>
    <col min="23" max="25" width="6.7109375" hidden="1" customWidth="1"/>
    <col min="26" max="26" width="6.7109375" customWidth="1"/>
    <col min="27" max="27" width="7.7109375" customWidth="1"/>
    <col min="28" max="45" width="6.7109375" customWidth="1"/>
    <col min="46" max="63" width="9.140625" hidden="1" customWidth="1"/>
  </cols>
  <sheetData>
    <row r="1" spans="2:85" ht="16.5" customHeight="1" x14ac:dyDescent="0.3"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2:85" ht="40.5" customHeight="1" x14ac:dyDescent="0.3"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2:85" ht="21" customHeight="1" x14ac:dyDescent="0.3">
      <c r="B3" s="72"/>
      <c r="C3" s="72"/>
      <c r="D3" s="72"/>
      <c r="E3" s="72"/>
      <c r="F3" s="72"/>
      <c r="G3" s="72"/>
      <c r="H3" s="7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07"/>
      <c r="AA3" s="107"/>
      <c r="AB3" s="107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2:85" s="2" customFormat="1" ht="18" x14ac:dyDescent="0.25">
      <c r="B4" s="309" t="s">
        <v>18</v>
      </c>
      <c r="C4" s="309"/>
      <c r="D4" s="309"/>
      <c r="E4" s="309"/>
      <c r="F4" s="27" t="s">
        <v>26</v>
      </c>
      <c r="G4" s="27"/>
      <c r="K4" s="27"/>
      <c r="L4" s="27"/>
      <c r="M4" s="27"/>
      <c r="P4" s="28"/>
      <c r="S4" s="28"/>
      <c r="U4" s="28" t="s">
        <v>27</v>
      </c>
      <c r="V4" s="28"/>
      <c r="W4" s="28"/>
      <c r="X4" s="28"/>
      <c r="Y4" s="28"/>
      <c r="Z4" s="27" t="s">
        <v>26</v>
      </c>
      <c r="AA4" s="27"/>
      <c r="AE4" s="27"/>
      <c r="AF4" s="27"/>
      <c r="AG4" s="27"/>
      <c r="AJ4" s="28"/>
      <c r="AM4" s="28"/>
      <c r="AO4" s="28" t="s">
        <v>27</v>
      </c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</row>
    <row r="5" spans="2:85" ht="3" customHeigh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2:85" s="2" customFormat="1" ht="23.25" customHeight="1" x14ac:dyDescent="0.25">
      <c r="B6" s="310" t="s">
        <v>0</v>
      </c>
      <c r="C6" s="313" t="s">
        <v>1</v>
      </c>
      <c r="D6" s="314"/>
      <c r="E6" s="310" t="s">
        <v>2</v>
      </c>
      <c r="F6" s="317" t="s">
        <v>16</v>
      </c>
      <c r="G6" s="318"/>
      <c r="H6" s="318"/>
      <c r="I6" s="318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  <c r="AN6" s="318"/>
      <c r="AO6" s="318"/>
      <c r="AP6" s="318"/>
      <c r="AQ6" s="318"/>
      <c r="AR6" s="318"/>
      <c r="AS6" s="318"/>
      <c r="AT6" s="318"/>
      <c r="AU6" s="318"/>
      <c r="AV6" s="318"/>
      <c r="AW6" s="318"/>
      <c r="AX6" s="318"/>
      <c r="AY6" s="318"/>
      <c r="AZ6" s="318"/>
      <c r="BA6" s="318"/>
      <c r="BB6" s="318"/>
      <c r="BC6" s="318"/>
      <c r="BD6" s="318"/>
      <c r="BE6" s="318"/>
      <c r="BF6" s="318"/>
      <c r="BG6" s="318"/>
      <c r="BH6" s="318"/>
      <c r="BI6" s="318"/>
      <c r="BJ6" s="318"/>
      <c r="BK6" s="318"/>
      <c r="BL6" s="319"/>
      <c r="BZ6" s="12"/>
      <c r="CA6" s="12"/>
      <c r="CB6" s="12"/>
      <c r="CC6" s="12"/>
      <c r="CD6" s="12"/>
      <c r="CE6" s="12"/>
      <c r="CF6" s="12"/>
    </row>
    <row r="7" spans="2:85" s="2" customFormat="1" ht="23.25" customHeight="1" x14ac:dyDescent="0.25">
      <c r="B7" s="311"/>
      <c r="C7" s="315"/>
      <c r="D7" s="316"/>
      <c r="E7" s="311"/>
      <c r="F7" s="3">
        <v>1</v>
      </c>
      <c r="G7" s="3">
        <f>1+F7</f>
        <v>2</v>
      </c>
      <c r="H7" s="3">
        <f>1+G7</f>
        <v>3</v>
      </c>
      <c r="I7" s="3">
        <f t="shared" ref="I7:N7" si="0">1+H7</f>
        <v>4</v>
      </c>
      <c r="J7" s="3">
        <f t="shared" si="0"/>
        <v>5</v>
      </c>
      <c r="K7" s="3">
        <f t="shared" si="0"/>
        <v>6</v>
      </c>
      <c r="L7" s="3">
        <f t="shared" si="0"/>
        <v>7</v>
      </c>
      <c r="M7" s="3">
        <f t="shared" si="0"/>
        <v>8</v>
      </c>
      <c r="N7" s="3">
        <f t="shared" si="0"/>
        <v>9</v>
      </c>
      <c r="O7" s="3">
        <f t="shared" ref="O7:V7" si="1">1+N7</f>
        <v>10</v>
      </c>
      <c r="P7" s="3">
        <f t="shared" si="1"/>
        <v>11</v>
      </c>
      <c r="Q7" s="3">
        <f t="shared" si="1"/>
        <v>12</v>
      </c>
      <c r="R7" s="3">
        <f t="shared" si="1"/>
        <v>13</v>
      </c>
      <c r="S7" s="3">
        <f t="shared" si="1"/>
        <v>14</v>
      </c>
      <c r="T7" s="3">
        <f t="shared" si="1"/>
        <v>15</v>
      </c>
      <c r="U7" s="3">
        <f t="shared" si="1"/>
        <v>16</v>
      </c>
      <c r="V7" s="3">
        <f t="shared" si="1"/>
        <v>17</v>
      </c>
      <c r="W7" s="3">
        <f t="shared" ref="W7:BK7" si="2">1+V7</f>
        <v>18</v>
      </c>
      <c r="X7" s="3">
        <f t="shared" si="2"/>
        <v>19</v>
      </c>
      <c r="Y7" s="3">
        <f t="shared" si="2"/>
        <v>20</v>
      </c>
      <c r="Z7" s="3">
        <f t="shared" ref="Z7:AS7" si="3">1+Y7</f>
        <v>21</v>
      </c>
      <c r="AA7" s="3">
        <f t="shared" si="3"/>
        <v>22</v>
      </c>
      <c r="AB7" s="3">
        <f t="shared" si="3"/>
        <v>23</v>
      </c>
      <c r="AC7" s="3">
        <f t="shared" si="3"/>
        <v>24</v>
      </c>
      <c r="AD7" s="3">
        <f t="shared" si="3"/>
        <v>25</v>
      </c>
      <c r="AE7" s="3">
        <f t="shared" si="3"/>
        <v>26</v>
      </c>
      <c r="AF7" s="3">
        <f t="shared" si="3"/>
        <v>27</v>
      </c>
      <c r="AG7" s="3">
        <f t="shared" si="3"/>
        <v>28</v>
      </c>
      <c r="AH7" s="3">
        <f t="shared" si="3"/>
        <v>29</v>
      </c>
      <c r="AI7" s="3">
        <f t="shared" si="3"/>
        <v>30</v>
      </c>
      <c r="AJ7" s="3">
        <f t="shared" si="3"/>
        <v>31</v>
      </c>
      <c r="AK7" s="3">
        <f t="shared" si="3"/>
        <v>32</v>
      </c>
      <c r="AL7" s="3">
        <f t="shared" si="3"/>
        <v>33</v>
      </c>
      <c r="AM7" s="3">
        <f t="shared" si="3"/>
        <v>34</v>
      </c>
      <c r="AN7" s="3">
        <f t="shared" si="3"/>
        <v>35</v>
      </c>
      <c r="AO7" s="3">
        <f t="shared" si="3"/>
        <v>36</v>
      </c>
      <c r="AP7" s="3">
        <f t="shared" si="3"/>
        <v>37</v>
      </c>
      <c r="AQ7" s="3">
        <f t="shared" si="3"/>
        <v>38</v>
      </c>
      <c r="AR7" s="3">
        <f t="shared" si="3"/>
        <v>39</v>
      </c>
      <c r="AS7" s="3">
        <f t="shared" si="3"/>
        <v>40</v>
      </c>
      <c r="AT7" s="3">
        <f>1+Y7</f>
        <v>21</v>
      </c>
      <c r="AU7" s="3">
        <f t="shared" si="2"/>
        <v>22</v>
      </c>
      <c r="AV7" s="3">
        <f t="shared" si="2"/>
        <v>23</v>
      </c>
      <c r="AW7" s="3">
        <f t="shared" si="2"/>
        <v>24</v>
      </c>
      <c r="AX7" s="3">
        <f t="shared" si="2"/>
        <v>25</v>
      </c>
      <c r="AY7" s="3">
        <f t="shared" si="2"/>
        <v>26</v>
      </c>
      <c r="AZ7" s="3">
        <f t="shared" si="2"/>
        <v>27</v>
      </c>
      <c r="BA7" s="3">
        <f t="shared" si="2"/>
        <v>28</v>
      </c>
      <c r="BB7" s="3">
        <f t="shared" si="2"/>
        <v>29</v>
      </c>
      <c r="BC7" s="3">
        <f t="shared" si="2"/>
        <v>30</v>
      </c>
      <c r="BD7" s="3">
        <f t="shared" si="2"/>
        <v>31</v>
      </c>
      <c r="BE7" s="3">
        <f t="shared" si="2"/>
        <v>32</v>
      </c>
      <c r="BF7" s="3">
        <f t="shared" si="2"/>
        <v>33</v>
      </c>
      <c r="BG7" s="3">
        <f t="shared" si="2"/>
        <v>34</v>
      </c>
      <c r="BH7" s="3">
        <f t="shared" si="2"/>
        <v>35</v>
      </c>
      <c r="BI7" s="3">
        <f t="shared" si="2"/>
        <v>36</v>
      </c>
      <c r="BJ7" s="3">
        <f t="shared" si="2"/>
        <v>37</v>
      </c>
      <c r="BK7" s="3">
        <f t="shared" si="2"/>
        <v>38</v>
      </c>
      <c r="BL7" s="3"/>
      <c r="BZ7"/>
      <c r="CA7"/>
      <c r="CB7"/>
      <c r="CC7"/>
      <c r="CD7"/>
      <c r="CE7"/>
      <c r="CF7"/>
    </row>
    <row r="8" spans="2:85" s="2" customFormat="1" ht="23.25" customHeight="1" x14ac:dyDescent="0.25">
      <c r="B8" s="312"/>
      <c r="C8" s="15" t="s">
        <v>4</v>
      </c>
      <c r="D8" s="15" t="s">
        <v>5</v>
      </c>
      <c r="E8" s="312"/>
      <c r="F8" s="4">
        <v>46084</v>
      </c>
      <c r="G8" s="4">
        <v>46085</v>
      </c>
      <c r="H8" s="4">
        <v>46086</v>
      </c>
      <c r="I8" s="4">
        <v>46087</v>
      </c>
      <c r="J8" s="4">
        <v>46090</v>
      </c>
      <c r="K8" s="4">
        <v>46091</v>
      </c>
      <c r="L8" s="4">
        <v>46092</v>
      </c>
      <c r="M8" s="4">
        <v>46093</v>
      </c>
      <c r="N8" s="4">
        <v>46094</v>
      </c>
      <c r="O8" s="4">
        <v>46097</v>
      </c>
      <c r="P8" s="4">
        <v>46098</v>
      </c>
      <c r="Q8" s="4">
        <v>46099</v>
      </c>
      <c r="R8" s="4">
        <v>46106</v>
      </c>
      <c r="S8" s="4">
        <v>46107</v>
      </c>
      <c r="T8" s="4">
        <v>46108</v>
      </c>
      <c r="U8" s="4">
        <v>46109</v>
      </c>
      <c r="V8" s="4">
        <v>46111</v>
      </c>
      <c r="W8" s="4">
        <v>46112</v>
      </c>
      <c r="X8" s="4">
        <v>46113</v>
      </c>
      <c r="Y8" s="4">
        <v>46114</v>
      </c>
      <c r="Z8" s="4">
        <v>46115</v>
      </c>
      <c r="AA8" s="4">
        <v>46116</v>
      </c>
      <c r="AB8" s="4">
        <v>46118</v>
      </c>
      <c r="AC8" s="4">
        <v>46119</v>
      </c>
      <c r="AD8" s="4">
        <v>46120</v>
      </c>
      <c r="AE8" s="4">
        <v>46121</v>
      </c>
      <c r="AF8" s="4">
        <v>46122</v>
      </c>
      <c r="AG8" s="4">
        <v>46123</v>
      </c>
      <c r="AH8" s="4">
        <v>46125</v>
      </c>
      <c r="AI8" s="4">
        <v>46126</v>
      </c>
      <c r="AJ8" s="4">
        <v>46127</v>
      </c>
      <c r="AK8" s="4">
        <v>46128</v>
      </c>
      <c r="AL8" s="4">
        <v>46129</v>
      </c>
      <c r="AM8" s="4">
        <v>46130</v>
      </c>
      <c r="AN8" s="4">
        <v>46132</v>
      </c>
      <c r="AO8" s="4">
        <v>46133</v>
      </c>
      <c r="AP8" s="4">
        <v>46134</v>
      </c>
      <c r="AQ8" s="4">
        <v>46135</v>
      </c>
      <c r="AR8" s="4">
        <v>46136</v>
      </c>
      <c r="AS8" s="4">
        <v>46137</v>
      </c>
      <c r="AT8" s="4">
        <v>46137</v>
      </c>
      <c r="AU8" s="4">
        <v>46138</v>
      </c>
      <c r="AV8" s="4">
        <v>46139</v>
      </c>
      <c r="AW8" s="4">
        <v>46140</v>
      </c>
      <c r="AX8" s="4">
        <v>46141</v>
      </c>
      <c r="AY8" s="4">
        <v>46142</v>
      </c>
      <c r="AZ8" s="4">
        <v>46143</v>
      </c>
      <c r="BA8" s="4">
        <v>46144</v>
      </c>
      <c r="BB8" s="4">
        <v>46145</v>
      </c>
      <c r="BC8" s="4">
        <v>46146</v>
      </c>
      <c r="BD8" s="4">
        <v>46147</v>
      </c>
      <c r="BE8" s="4">
        <v>46148</v>
      </c>
      <c r="BF8" s="4">
        <v>46149</v>
      </c>
      <c r="BG8" s="4">
        <v>46150</v>
      </c>
      <c r="BH8" s="4">
        <v>46151</v>
      </c>
      <c r="BI8" s="4">
        <v>46152</v>
      </c>
      <c r="BJ8" s="4">
        <v>46153</v>
      </c>
      <c r="BK8" s="4">
        <v>46154</v>
      </c>
      <c r="BL8" s="4"/>
      <c r="BZ8" s="12"/>
      <c r="CA8" s="12"/>
      <c r="CB8"/>
      <c r="CC8"/>
      <c r="CD8"/>
      <c r="CE8"/>
      <c r="CF8"/>
      <c r="CG8"/>
    </row>
    <row r="9" spans="2:85" ht="23.25" customHeight="1" x14ac:dyDescent="0.25">
      <c r="B9" s="304" t="s">
        <v>37</v>
      </c>
      <c r="C9" s="304"/>
      <c r="D9" s="304"/>
      <c r="E9" s="14" t="s">
        <v>10</v>
      </c>
      <c r="F9" s="8"/>
      <c r="G9" s="8"/>
      <c r="H9" s="9"/>
      <c r="I9" s="9"/>
      <c r="J9" s="9"/>
      <c r="K9" s="9"/>
      <c r="L9" s="31"/>
      <c r="M9" s="10"/>
      <c r="N9" s="10"/>
      <c r="O9" s="10"/>
      <c r="P9" s="10"/>
      <c r="Q9" s="10"/>
      <c r="R9" s="10"/>
      <c r="S9" s="9">
        <v>774</v>
      </c>
      <c r="T9" s="9">
        <v>864</v>
      </c>
      <c r="U9" s="10">
        <v>1080</v>
      </c>
      <c r="V9" s="112">
        <v>1044</v>
      </c>
      <c r="W9" s="10">
        <v>960</v>
      </c>
      <c r="X9" s="10">
        <v>954</v>
      </c>
      <c r="Y9" s="10">
        <v>624</v>
      </c>
      <c r="Z9" s="113">
        <v>1126</v>
      </c>
      <c r="AA9" s="8">
        <v>804</v>
      </c>
      <c r="AB9" s="9">
        <v>222</v>
      </c>
      <c r="AC9" s="9">
        <v>948</v>
      </c>
      <c r="AD9" s="9">
        <v>1032</v>
      </c>
      <c r="AE9" s="9">
        <v>1002</v>
      </c>
      <c r="AF9" s="31">
        <v>1128</v>
      </c>
      <c r="AG9" s="10">
        <v>660</v>
      </c>
      <c r="AH9" s="10">
        <v>924</v>
      </c>
      <c r="AI9" s="10">
        <v>1080</v>
      </c>
      <c r="AJ9" s="23">
        <v>0</v>
      </c>
      <c r="AK9" s="10">
        <v>1656</v>
      </c>
      <c r="AL9" s="10">
        <v>1206</v>
      </c>
      <c r="AM9" s="9">
        <v>720</v>
      </c>
      <c r="AN9" s="9">
        <v>1266</v>
      </c>
      <c r="AO9" s="10">
        <v>1680</v>
      </c>
      <c r="AP9" s="9"/>
      <c r="AQ9" s="10"/>
      <c r="AR9" s="10"/>
      <c r="AS9" s="10"/>
      <c r="AT9" s="8"/>
      <c r="AU9" s="9"/>
      <c r="AV9" s="9"/>
      <c r="AW9" s="9"/>
      <c r="AX9" s="9"/>
      <c r="AY9" s="23"/>
      <c r="AZ9" s="10"/>
      <c r="BA9" s="10"/>
      <c r="BB9" s="10"/>
      <c r="BC9" s="10"/>
      <c r="BD9" s="10"/>
      <c r="BE9" s="9"/>
      <c r="BF9" s="9"/>
      <c r="BG9" s="9"/>
      <c r="BH9" s="9"/>
      <c r="BI9" s="10"/>
      <c r="BJ9" s="9"/>
      <c r="BK9" s="10"/>
      <c r="BL9" s="10"/>
      <c r="BP9" t="s">
        <v>15</v>
      </c>
    </row>
    <row r="10" spans="2:85" ht="23.25" customHeight="1" x14ac:dyDescent="0.25">
      <c r="B10" s="305"/>
      <c r="C10" s="305"/>
      <c r="D10" s="305"/>
      <c r="E10" s="14" t="s">
        <v>6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>
        <f>+S9/10</f>
        <v>77.400000000000006</v>
      </c>
      <c r="T10" s="11">
        <f t="shared" ref="T10:AS10" si="4">+T9/10</f>
        <v>86.4</v>
      </c>
      <c r="U10" s="11">
        <f t="shared" si="4"/>
        <v>108</v>
      </c>
      <c r="V10" s="11">
        <f t="shared" si="4"/>
        <v>104.4</v>
      </c>
      <c r="W10" s="11">
        <f t="shared" si="4"/>
        <v>96</v>
      </c>
      <c r="X10" s="11">
        <f t="shared" si="4"/>
        <v>95.4</v>
      </c>
      <c r="Y10" s="11">
        <f t="shared" si="4"/>
        <v>62.4</v>
      </c>
      <c r="Z10" s="11">
        <f t="shared" si="4"/>
        <v>112.6</v>
      </c>
      <c r="AA10" s="11">
        <f t="shared" si="4"/>
        <v>80.400000000000006</v>
      </c>
      <c r="AB10" s="11">
        <f t="shared" si="4"/>
        <v>22.2</v>
      </c>
      <c r="AC10" s="11">
        <f>+AC9/12</f>
        <v>79</v>
      </c>
      <c r="AD10" s="11">
        <f>+AD9/12</f>
        <v>86</v>
      </c>
      <c r="AE10" s="11">
        <f>+AE9/12</f>
        <v>83.5</v>
      </c>
      <c r="AF10" s="11">
        <f t="shared" si="4"/>
        <v>112.8</v>
      </c>
      <c r="AG10" s="11">
        <f>+AG9/8</f>
        <v>82.5</v>
      </c>
      <c r="AH10" s="11">
        <f>+AH9/11</f>
        <v>84</v>
      </c>
      <c r="AI10" s="11">
        <f>+AI9/11</f>
        <v>98.181818181818187</v>
      </c>
      <c r="AJ10" s="11">
        <f>+AJ9/11</f>
        <v>0</v>
      </c>
      <c r="AK10" s="11">
        <f>+AK9/11</f>
        <v>150.54545454545453</v>
      </c>
      <c r="AL10" s="11">
        <f t="shared" si="4"/>
        <v>120.6</v>
      </c>
      <c r="AM10" s="11">
        <f t="shared" si="4"/>
        <v>72</v>
      </c>
      <c r="AN10" s="11">
        <f t="shared" si="4"/>
        <v>126.6</v>
      </c>
      <c r="AO10" s="11">
        <f t="shared" si="4"/>
        <v>168</v>
      </c>
      <c r="AP10" s="11">
        <f t="shared" si="4"/>
        <v>0</v>
      </c>
      <c r="AQ10" s="11">
        <f t="shared" si="4"/>
        <v>0</v>
      </c>
      <c r="AR10" s="11">
        <f t="shared" si="4"/>
        <v>0</v>
      </c>
      <c r="AS10" s="11">
        <f t="shared" si="4"/>
        <v>0</v>
      </c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CA10" s="12"/>
    </row>
    <row r="11" spans="2:85" s="12" customFormat="1" ht="23.25" customHeight="1" x14ac:dyDescent="0.25">
      <c r="B11" s="238" t="s">
        <v>9</v>
      </c>
      <c r="C11" s="262"/>
      <c r="D11" s="262"/>
      <c r="E11" s="14" t="s">
        <v>10</v>
      </c>
      <c r="F11" s="8"/>
      <c r="G11" s="8"/>
      <c r="H11" s="9"/>
      <c r="I11" s="9"/>
      <c r="J11" s="9"/>
      <c r="K11" s="9"/>
      <c r="L11" s="31"/>
      <c r="M11" s="10"/>
      <c r="N11" s="10"/>
      <c r="O11" s="10"/>
      <c r="P11" s="10"/>
      <c r="Q11" s="10"/>
      <c r="R11" s="10"/>
      <c r="S11" s="9">
        <v>688</v>
      </c>
      <c r="T11" s="9">
        <v>810</v>
      </c>
      <c r="U11" s="10">
        <v>842</v>
      </c>
      <c r="V11" s="9">
        <v>1008</v>
      </c>
      <c r="W11" s="10">
        <v>972</v>
      </c>
      <c r="X11" s="10">
        <v>906</v>
      </c>
      <c r="Y11" s="10">
        <v>582</v>
      </c>
      <c r="Z11" s="8">
        <v>870</v>
      </c>
      <c r="AA11" s="8">
        <v>762</v>
      </c>
      <c r="AB11" s="9">
        <v>624</v>
      </c>
      <c r="AC11" s="9">
        <v>816</v>
      </c>
      <c r="AD11" s="9">
        <v>856</v>
      </c>
      <c r="AE11" s="9">
        <v>792</v>
      </c>
      <c r="AF11" s="31">
        <v>822</v>
      </c>
      <c r="AG11" s="10">
        <v>744</v>
      </c>
      <c r="AH11" s="10">
        <v>660</v>
      </c>
      <c r="AI11" s="10">
        <v>780</v>
      </c>
      <c r="AJ11" s="10">
        <v>900</v>
      </c>
      <c r="AK11" s="10">
        <v>870</v>
      </c>
      <c r="AL11" s="10">
        <v>750</v>
      </c>
      <c r="AM11" s="9">
        <v>702</v>
      </c>
      <c r="AN11" s="9">
        <v>1227</v>
      </c>
      <c r="AO11" s="10">
        <v>1218</v>
      </c>
      <c r="AP11" s="9"/>
      <c r="AQ11" s="10"/>
      <c r="AR11" s="10"/>
      <c r="AS11" s="10"/>
      <c r="AT11" s="8"/>
      <c r="AU11" s="8"/>
      <c r="AV11" s="9"/>
      <c r="AW11" s="9"/>
      <c r="AX11" s="9"/>
      <c r="AY11" s="9"/>
      <c r="AZ11" s="31"/>
      <c r="BA11" s="10"/>
      <c r="BB11" s="8"/>
      <c r="BC11" s="8"/>
      <c r="BD11" s="9"/>
      <c r="BE11" s="9"/>
      <c r="BF11" s="9"/>
      <c r="BG11" s="9"/>
      <c r="BH11" s="31"/>
      <c r="BI11" s="10"/>
      <c r="BJ11" s="10"/>
      <c r="BK11" s="10"/>
      <c r="BL11" s="10"/>
    </row>
    <row r="12" spans="2:85" ht="23.25" customHeight="1" x14ac:dyDescent="0.25">
      <c r="B12" s="238"/>
      <c r="C12" s="262"/>
      <c r="D12" s="262"/>
      <c r="E12" s="106" t="s">
        <v>6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>
        <f>+S11/12</f>
        <v>57.333333333333336</v>
      </c>
      <c r="T12" s="50">
        <f t="shared" ref="T12:AS12" si="5">+T11/12</f>
        <v>67.5</v>
      </c>
      <c r="U12" s="50">
        <f t="shared" si="5"/>
        <v>70.166666666666671</v>
      </c>
      <c r="V12" s="50">
        <f t="shared" si="5"/>
        <v>84</v>
      </c>
      <c r="W12" s="50">
        <f t="shared" si="5"/>
        <v>81</v>
      </c>
      <c r="X12" s="50">
        <f t="shared" si="5"/>
        <v>75.5</v>
      </c>
      <c r="Y12" s="50">
        <f t="shared" si="5"/>
        <v>48.5</v>
      </c>
      <c r="Z12" s="50">
        <f t="shared" si="5"/>
        <v>72.5</v>
      </c>
      <c r="AA12" s="50">
        <f t="shared" si="5"/>
        <v>63.5</v>
      </c>
      <c r="AB12" s="50">
        <f t="shared" si="5"/>
        <v>52</v>
      </c>
      <c r="AC12" s="50">
        <f>+AC11/12</f>
        <v>68</v>
      </c>
      <c r="AD12" s="50">
        <f t="shared" si="5"/>
        <v>71.333333333333329</v>
      </c>
      <c r="AE12" s="50">
        <f>+AE11/12</f>
        <v>66</v>
      </c>
      <c r="AF12" s="50">
        <f t="shared" si="5"/>
        <v>68.5</v>
      </c>
      <c r="AG12" s="50">
        <f>+AG11/10</f>
        <v>74.400000000000006</v>
      </c>
      <c r="AH12" s="50">
        <f t="shared" si="5"/>
        <v>55</v>
      </c>
      <c r="AI12" s="50">
        <f t="shared" si="5"/>
        <v>65</v>
      </c>
      <c r="AJ12" s="50">
        <f t="shared" si="5"/>
        <v>75</v>
      </c>
      <c r="AK12" s="50">
        <f t="shared" si="5"/>
        <v>72.5</v>
      </c>
      <c r="AL12" s="50">
        <f t="shared" si="5"/>
        <v>62.5</v>
      </c>
      <c r="AM12" s="50">
        <f t="shared" si="5"/>
        <v>58.5</v>
      </c>
      <c r="AN12" s="50">
        <f t="shared" si="5"/>
        <v>102.25</v>
      </c>
      <c r="AO12" s="50">
        <f t="shared" si="5"/>
        <v>101.5</v>
      </c>
      <c r="AP12" s="50">
        <f t="shared" si="5"/>
        <v>0</v>
      </c>
      <c r="AQ12" s="50">
        <f t="shared" si="5"/>
        <v>0</v>
      </c>
      <c r="AR12" s="50">
        <f t="shared" si="5"/>
        <v>0</v>
      </c>
      <c r="AS12" s="50">
        <f t="shared" si="5"/>
        <v>0</v>
      </c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</row>
    <row r="13" spans="2:85" ht="23.25" customHeight="1" x14ac:dyDescent="0.25">
      <c r="B13" s="304" t="s">
        <v>8</v>
      </c>
      <c r="C13" s="304"/>
      <c r="D13" s="304"/>
      <c r="E13" s="14" t="s">
        <v>10</v>
      </c>
      <c r="F13" s="8">
        <v>54</v>
      </c>
      <c r="G13" s="8">
        <v>234</v>
      </c>
      <c r="H13" s="9">
        <v>540</v>
      </c>
      <c r="I13" s="9">
        <v>300</v>
      </c>
      <c r="J13" s="9">
        <v>432</v>
      </c>
      <c r="K13" s="9">
        <v>366</v>
      </c>
      <c r="L13" s="31">
        <v>420</v>
      </c>
      <c r="M13" s="10">
        <v>540</v>
      </c>
      <c r="N13" s="10">
        <v>480</v>
      </c>
      <c r="O13" s="10">
        <v>546</v>
      </c>
      <c r="P13" s="10">
        <v>600</v>
      </c>
      <c r="Q13" s="10">
        <v>707</v>
      </c>
      <c r="R13" s="10">
        <v>576</v>
      </c>
      <c r="S13" s="9">
        <v>630</v>
      </c>
      <c r="T13" s="9">
        <v>768</v>
      </c>
      <c r="U13" s="10">
        <v>840</v>
      </c>
      <c r="V13" s="9">
        <v>882</v>
      </c>
      <c r="W13" s="10">
        <v>840</v>
      </c>
      <c r="X13" s="10">
        <v>882</v>
      </c>
      <c r="Y13" s="10">
        <v>582</v>
      </c>
      <c r="Z13" s="8">
        <v>804</v>
      </c>
      <c r="AA13" s="8">
        <v>810</v>
      </c>
      <c r="AB13" s="9">
        <v>702</v>
      </c>
      <c r="AC13" s="9">
        <v>888</v>
      </c>
      <c r="AD13" s="9">
        <v>840</v>
      </c>
      <c r="AE13" s="9">
        <v>882</v>
      </c>
      <c r="AF13" s="31">
        <v>840</v>
      </c>
      <c r="AG13" s="10">
        <v>804</v>
      </c>
      <c r="AH13" s="10">
        <v>756</v>
      </c>
      <c r="AI13" s="10">
        <v>846</v>
      </c>
      <c r="AJ13" s="10">
        <v>900</v>
      </c>
      <c r="AK13" s="10">
        <v>900</v>
      </c>
      <c r="AL13" s="10">
        <v>702</v>
      </c>
      <c r="AM13" s="9">
        <v>738</v>
      </c>
      <c r="AN13" s="9">
        <v>950</v>
      </c>
      <c r="AO13" s="10">
        <v>1100</v>
      </c>
      <c r="AP13" s="9"/>
      <c r="AQ13" s="10"/>
      <c r="AR13" s="10"/>
      <c r="AS13" s="10"/>
      <c r="AT13" s="8"/>
      <c r="AU13" s="9"/>
      <c r="AV13" s="9"/>
      <c r="AW13" s="9"/>
      <c r="AX13" s="9"/>
      <c r="AY13" s="23"/>
      <c r="AZ13" s="10"/>
      <c r="BA13" s="10"/>
      <c r="BB13" s="10"/>
      <c r="BC13" s="10"/>
      <c r="BD13" s="10"/>
      <c r="BE13" s="9"/>
      <c r="BF13" s="9"/>
      <c r="BG13" s="9"/>
      <c r="BH13" s="9"/>
      <c r="BI13" s="10"/>
      <c r="BJ13" s="9"/>
      <c r="BK13" s="10"/>
      <c r="BL13" s="10"/>
      <c r="BP13" t="s">
        <v>15</v>
      </c>
    </row>
    <row r="14" spans="2:85" ht="23.25" customHeight="1" x14ac:dyDescent="0.25">
      <c r="B14" s="305"/>
      <c r="C14" s="305"/>
      <c r="D14" s="305"/>
      <c r="E14" s="14" t="s">
        <v>6</v>
      </c>
      <c r="F14" s="11">
        <f t="shared" ref="F14:BL14" si="6">F13/8</f>
        <v>6.75</v>
      </c>
      <c r="G14" s="11">
        <f t="shared" si="6"/>
        <v>29.25</v>
      </c>
      <c r="H14" s="11">
        <f t="shared" si="6"/>
        <v>67.5</v>
      </c>
      <c r="I14" s="11">
        <f t="shared" si="6"/>
        <v>37.5</v>
      </c>
      <c r="J14" s="11">
        <f t="shared" si="6"/>
        <v>54</v>
      </c>
      <c r="K14" s="11">
        <f t="shared" si="6"/>
        <v>45.75</v>
      </c>
      <c r="L14" s="11">
        <f>L13/9</f>
        <v>46.666666666666664</v>
      </c>
      <c r="M14" s="11">
        <f t="shared" si="6"/>
        <v>67.5</v>
      </c>
      <c r="N14" s="11">
        <f t="shared" si="6"/>
        <v>60</v>
      </c>
      <c r="O14" s="11">
        <f t="shared" si="6"/>
        <v>68.25</v>
      </c>
      <c r="P14" s="11">
        <f t="shared" si="6"/>
        <v>75</v>
      </c>
      <c r="Q14" s="11">
        <f t="shared" si="6"/>
        <v>88.375</v>
      </c>
      <c r="R14" s="11">
        <f t="shared" si="6"/>
        <v>72</v>
      </c>
      <c r="S14" s="11">
        <f>S13/12</f>
        <v>52.5</v>
      </c>
      <c r="T14" s="11">
        <f t="shared" ref="T14:AB14" si="7">T13/12</f>
        <v>64</v>
      </c>
      <c r="U14" s="11">
        <f t="shared" si="7"/>
        <v>70</v>
      </c>
      <c r="V14" s="11">
        <f t="shared" si="7"/>
        <v>73.5</v>
      </c>
      <c r="W14" s="11">
        <f t="shared" si="7"/>
        <v>70</v>
      </c>
      <c r="X14" s="11">
        <f t="shared" si="7"/>
        <v>73.5</v>
      </c>
      <c r="Y14" s="11">
        <f t="shared" si="7"/>
        <v>48.5</v>
      </c>
      <c r="Z14" s="11">
        <f t="shared" si="7"/>
        <v>67</v>
      </c>
      <c r="AA14" s="11">
        <f t="shared" si="7"/>
        <v>67.5</v>
      </c>
      <c r="AB14" s="11">
        <f t="shared" si="7"/>
        <v>58.5</v>
      </c>
      <c r="AC14" s="11">
        <f>AC13/12</f>
        <v>74</v>
      </c>
      <c r="AD14" s="11">
        <f t="shared" ref="AD14:AS14" si="8">AD13/12</f>
        <v>70</v>
      </c>
      <c r="AE14" s="11">
        <f>AE13/12</f>
        <v>73.5</v>
      </c>
      <c r="AF14" s="11">
        <f t="shared" si="8"/>
        <v>70</v>
      </c>
      <c r="AG14" s="11">
        <f>AG13/10</f>
        <v>80.400000000000006</v>
      </c>
      <c r="AH14" s="11">
        <f t="shared" si="8"/>
        <v>63</v>
      </c>
      <c r="AI14" s="11">
        <f t="shared" si="8"/>
        <v>70.5</v>
      </c>
      <c r="AJ14" s="11">
        <f t="shared" si="8"/>
        <v>75</v>
      </c>
      <c r="AK14" s="11">
        <f t="shared" si="8"/>
        <v>75</v>
      </c>
      <c r="AL14" s="11">
        <f t="shared" si="8"/>
        <v>58.5</v>
      </c>
      <c r="AM14" s="11">
        <f t="shared" si="8"/>
        <v>61.5</v>
      </c>
      <c r="AN14" s="11">
        <f t="shared" si="8"/>
        <v>79.166666666666671</v>
      </c>
      <c r="AO14" s="11">
        <f t="shared" si="8"/>
        <v>91.666666666666671</v>
      </c>
      <c r="AP14" s="11">
        <f t="shared" si="8"/>
        <v>0</v>
      </c>
      <c r="AQ14" s="11">
        <f t="shared" si="8"/>
        <v>0</v>
      </c>
      <c r="AR14" s="11">
        <f t="shared" si="8"/>
        <v>0</v>
      </c>
      <c r="AS14" s="11">
        <f t="shared" si="8"/>
        <v>0</v>
      </c>
      <c r="AT14" s="11">
        <f t="shared" si="6"/>
        <v>0</v>
      </c>
      <c r="AU14" s="11">
        <f t="shared" si="6"/>
        <v>0</v>
      </c>
      <c r="AV14" s="11">
        <f t="shared" si="6"/>
        <v>0</v>
      </c>
      <c r="AW14" s="11">
        <f t="shared" si="6"/>
        <v>0</v>
      </c>
      <c r="AX14" s="11">
        <f t="shared" si="6"/>
        <v>0</v>
      </c>
      <c r="AY14" s="11">
        <f t="shared" si="6"/>
        <v>0</v>
      </c>
      <c r="AZ14" s="11">
        <f t="shared" si="6"/>
        <v>0</v>
      </c>
      <c r="BA14" s="11">
        <f t="shared" si="6"/>
        <v>0</v>
      </c>
      <c r="BB14" s="11">
        <f t="shared" si="6"/>
        <v>0</v>
      </c>
      <c r="BC14" s="11">
        <f t="shared" si="6"/>
        <v>0</v>
      </c>
      <c r="BD14" s="11">
        <f t="shared" si="6"/>
        <v>0</v>
      </c>
      <c r="BE14" s="11">
        <f t="shared" si="6"/>
        <v>0</v>
      </c>
      <c r="BF14" s="11">
        <f t="shared" si="6"/>
        <v>0</v>
      </c>
      <c r="BG14" s="11">
        <f t="shared" si="6"/>
        <v>0</v>
      </c>
      <c r="BH14" s="11">
        <f t="shared" si="6"/>
        <v>0</v>
      </c>
      <c r="BI14" s="11">
        <f t="shared" si="6"/>
        <v>0</v>
      </c>
      <c r="BJ14" s="11">
        <f t="shared" si="6"/>
        <v>0</v>
      </c>
      <c r="BK14" s="11">
        <f t="shared" si="6"/>
        <v>0</v>
      </c>
      <c r="BL14" s="11">
        <f t="shared" si="6"/>
        <v>0</v>
      </c>
      <c r="CA14" s="12"/>
    </row>
    <row r="15" spans="2:85" s="12" customFormat="1" ht="23.25" customHeight="1" x14ac:dyDescent="0.25">
      <c r="B15" s="238" t="s">
        <v>13</v>
      </c>
      <c r="C15" s="262"/>
      <c r="D15" s="262"/>
      <c r="E15" s="14" t="s">
        <v>10</v>
      </c>
      <c r="F15" s="8"/>
      <c r="G15" s="8"/>
      <c r="H15" s="9"/>
      <c r="I15" s="9"/>
      <c r="J15" s="9"/>
      <c r="K15" s="9"/>
      <c r="L15" s="31"/>
      <c r="M15" s="10"/>
      <c r="N15" s="10"/>
      <c r="O15" s="10"/>
      <c r="P15" s="10"/>
      <c r="Q15" s="10"/>
      <c r="R15" s="61">
        <v>203</v>
      </c>
      <c r="S15" s="61">
        <v>725</v>
      </c>
      <c r="T15" s="61">
        <v>690</v>
      </c>
      <c r="U15" s="61">
        <v>406</v>
      </c>
      <c r="V15" s="61">
        <v>886</v>
      </c>
      <c r="W15" s="61">
        <v>1084</v>
      </c>
      <c r="X15" s="8">
        <v>965</v>
      </c>
      <c r="Y15" s="8">
        <v>924</v>
      </c>
      <c r="Z15" s="8">
        <v>511</v>
      </c>
      <c r="AA15" s="8">
        <v>511</v>
      </c>
      <c r="AB15" s="9">
        <v>718</v>
      </c>
      <c r="AC15" s="112">
        <v>1389</v>
      </c>
      <c r="AD15" s="9">
        <v>1077</v>
      </c>
      <c r="AE15" s="9">
        <v>818</v>
      </c>
      <c r="AF15" s="31">
        <v>983</v>
      </c>
      <c r="AG15" s="10">
        <v>820</v>
      </c>
      <c r="AH15" s="31">
        <v>1109</v>
      </c>
      <c r="AI15" s="10">
        <v>872</v>
      </c>
      <c r="AJ15" s="10">
        <v>1096</v>
      </c>
      <c r="AK15" s="10">
        <v>1031</v>
      </c>
      <c r="AL15" s="9">
        <v>497</v>
      </c>
      <c r="AM15" s="9">
        <v>610</v>
      </c>
      <c r="AN15" s="10">
        <v>800</v>
      </c>
      <c r="AO15" s="9">
        <v>1110</v>
      </c>
      <c r="AP15" s="10"/>
      <c r="AQ15" s="10"/>
      <c r="AR15" s="8"/>
      <c r="AS15" s="8"/>
      <c r="AT15" s="9"/>
      <c r="AU15" s="9"/>
      <c r="AV15" s="9"/>
      <c r="AW15" s="9"/>
      <c r="AX15" s="31"/>
      <c r="AY15" s="10"/>
      <c r="AZ15" s="10"/>
      <c r="BA15" s="10"/>
      <c r="BB15" s="8"/>
      <c r="BC15" s="8"/>
      <c r="BD15" s="9"/>
      <c r="BE15" s="9"/>
      <c r="BF15" s="9"/>
      <c r="BG15" s="9"/>
      <c r="BH15" s="31"/>
      <c r="BI15" s="10"/>
      <c r="BJ15" s="10"/>
      <c r="BK15" s="10"/>
      <c r="BL15" s="10"/>
    </row>
    <row r="16" spans="2:85" ht="23.25" customHeight="1" x14ac:dyDescent="0.25">
      <c r="B16" s="238"/>
      <c r="C16" s="262"/>
      <c r="D16" s="262"/>
      <c r="E16" s="99" t="s">
        <v>6</v>
      </c>
      <c r="F16" s="50">
        <f t="shared" ref="F16:K16" si="9">F15/8</f>
        <v>0</v>
      </c>
      <c r="G16" s="50">
        <f t="shared" si="9"/>
        <v>0</v>
      </c>
      <c r="H16" s="50">
        <f t="shared" si="9"/>
        <v>0</v>
      </c>
      <c r="I16" s="50">
        <f t="shared" si="9"/>
        <v>0</v>
      </c>
      <c r="J16" s="50">
        <f t="shared" si="9"/>
        <v>0</v>
      </c>
      <c r="K16" s="50">
        <f t="shared" si="9"/>
        <v>0</v>
      </c>
      <c r="L16" s="50">
        <f t="shared" ref="L16:R16" si="10">+L15/8</f>
        <v>0</v>
      </c>
      <c r="M16" s="50">
        <f t="shared" si="10"/>
        <v>0</v>
      </c>
      <c r="N16" s="50">
        <f t="shared" si="10"/>
        <v>0</v>
      </c>
      <c r="O16" s="50">
        <f t="shared" si="10"/>
        <v>0</v>
      </c>
      <c r="P16" s="50">
        <f t="shared" si="10"/>
        <v>0</v>
      </c>
      <c r="Q16" s="50">
        <f t="shared" si="10"/>
        <v>0</v>
      </c>
      <c r="R16" s="50">
        <f t="shared" si="10"/>
        <v>25.375</v>
      </c>
      <c r="S16" s="50">
        <f>+S15/10</f>
        <v>72.5</v>
      </c>
      <c r="T16" s="50">
        <f t="shared" ref="T16:AB16" si="11">+T15/10</f>
        <v>69</v>
      </c>
      <c r="U16" s="50">
        <f t="shared" si="11"/>
        <v>40.6</v>
      </c>
      <c r="V16" s="50">
        <f t="shared" si="11"/>
        <v>88.6</v>
      </c>
      <c r="W16" s="50">
        <f t="shared" si="11"/>
        <v>108.4</v>
      </c>
      <c r="X16" s="50">
        <f t="shared" si="11"/>
        <v>96.5</v>
      </c>
      <c r="Y16" s="50">
        <f t="shared" si="11"/>
        <v>92.4</v>
      </c>
      <c r="Z16" s="50">
        <f t="shared" si="11"/>
        <v>51.1</v>
      </c>
      <c r="AA16" s="50">
        <f t="shared" si="11"/>
        <v>51.1</v>
      </c>
      <c r="AB16" s="50">
        <f t="shared" si="11"/>
        <v>71.8</v>
      </c>
      <c r="AC16" s="50">
        <f>AC15/10</f>
        <v>138.9</v>
      </c>
      <c r="AD16" s="66">
        <f>AD15/11</f>
        <v>97.909090909090907</v>
      </c>
      <c r="AE16" s="50">
        <f>AE15/11</f>
        <v>74.36363636363636</v>
      </c>
      <c r="AF16" s="50">
        <f t="shared" ref="AF16:AS16" si="12">AF15/10</f>
        <v>98.3</v>
      </c>
      <c r="AG16" s="50">
        <f>AG15/9</f>
        <v>91.111111111111114</v>
      </c>
      <c r="AH16" s="50">
        <f>AH15/11</f>
        <v>100.81818181818181</v>
      </c>
      <c r="AI16" s="50">
        <f>AI15/10</f>
        <v>87.2</v>
      </c>
      <c r="AJ16" s="50">
        <f t="shared" si="12"/>
        <v>109.6</v>
      </c>
      <c r="AK16" s="50">
        <f t="shared" si="12"/>
        <v>103.1</v>
      </c>
      <c r="AL16" s="50">
        <f t="shared" si="12"/>
        <v>49.7</v>
      </c>
      <c r="AM16" s="50">
        <f t="shared" si="12"/>
        <v>61</v>
      </c>
      <c r="AN16" s="50">
        <f t="shared" si="12"/>
        <v>80</v>
      </c>
      <c r="AO16" s="50">
        <f t="shared" si="12"/>
        <v>111</v>
      </c>
      <c r="AP16" s="50">
        <f t="shared" si="12"/>
        <v>0</v>
      </c>
      <c r="AQ16" s="50">
        <f t="shared" si="12"/>
        <v>0</v>
      </c>
      <c r="AR16" s="50">
        <f t="shared" si="12"/>
        <v>0</v>
      </c>
      <c r="AS16" s="50">
        <f t="shared" si="12"/>
        <v>0</v>
      </c>
      <c r="AT16" s="50">
        <f>+AT15/10</f>
        <v>0</v>
      </c>
      <c r="AU16" s="50">
        <f>+AU15/9</f>
        <v>0</v>
      </c>
      <c r="AV16" s="50">
        <f>+AV15/7</f>
        <v>0</v>
      </c>
      <c r="AW16" s="50">
        <f>+AW15/9</f>
        <v>0</v>
      </c>
      <c r="AX16" s="50">
        <f>+AX15/9</f>
        <v>0</v>
      </c>
      <c r="AY16" s="50">
        <f>+AY15/9</f>
        <v>0</v>
      </c>
      <c r="AZ16" s="50">
        <f>+AZ15/9</f>
        <v>0</v>
      </c>
      <c r="BA16" s="50">
        <f>+BA15/9</f>
        <v>0</v>
      </c>
      <c r="BB16" s="50">
        <f>+BB15/5</f>
        <v>0</v>
      </c>
      <c r="BC16" s="50">
        <f>+BC15/9</f>
        <v>0</v>
      </c>
      <c r="BD16" s="50">
        <f>+BD15/9</f>
        <v>0</v>
      </c>
      <c r="BE16" s="50">
        <f>+BE15/9</f>
        <v>0</v>
      </c>
      <c r="BF16" s="50">
        <f>+BF15/9</f>
        <v>0</v>
      </c>
      <c r="BG16" s="50">
        <f>+BG15/10</f>
        <v>0</v>
      </c>
      <c r="BH16" s="50">
        <f>+BH15/10</f>
        <v>0</v>
      </c>
      <c r="BI16" s="50">
        <f>+BI15/9</f>
        <v>0</v>
      </c>
      <c r="BJ16" s="50">
        <f>+BJ15/9</f>
        <v>0</v>
      </c>
      <c r="BK16" s="50">
        <f>+BK15/9</f>
        <v>0</v>
      </c>
      <c r="BL16" s="50">
        <f>+BL15/9</f>
        <v>0</v>
      </c>
    </row>
    <row r="17" spans="2:85" s="12" customFormat="1" ht="23.25" customHeight="1" x14ac:dyDescent="0.25">
      <c r="B17" s="306" t="s">
        <v>11</v>
      </c>
      <c r="C17" s="307"/>
      <c r="D17" s="307"/>
      <c r="E17" s="308"/>
      <c r="F17" s="5">
        <v>12</v>
      </c>
      <c r="G17" s="5">
        <v>12</v>
      </c>
      <c r="H17" s="5">
        <v>12</v>
      </c>
      <c r="I17" s="5">
        <v>12</v>
      </c>
      <c r="J17" s="5">
        <v>12</v>
      </c>
      <c r="K17" s="5">
        <v>24</v>
      </c>
      <c r="L17" s="5">
        <v>24</v>
      </c>
      <c r="M17" s="5">
        <v>24</v>
      </c>
      <c r="N17" s="5">
        <v>24</v>
      </c>
      <c r="O17" s="5">
        <v>24</v>
      </c>
      <c r="P17" s="5">
        <v>36</v>
      </c>
      <c r="Q17" s="5">
        <v>36</v>
      </c>
      <c r="R17" s="5">
        <v>36</v>
      </c>
      <c r="S17" s="5">
        <v>36</v>
      </c>
      <c r="T17" s="5">
        <v>36</v>
      </c>
      <c r="U17" s="5">
        <v>48</v>
      </c>
      <c r="V17" s="5">
        <v>48</v>
      </c>
      <c r="W17" s="5">
        <v>48</v>
      </c>
      <c r="X17" s="5">
        <v>48</v>
      </c>
      <c r="Y17" s="5">
        <v>48</v>
      </c>
      <c r="Z17" s="5">
        <v>60</v>
      </c>
      <c r="AA17" s="5">
        <v>60</v>
      </c>
      <c r="AB17" s="5">
        <v>60</v>
      </c>
      <c r="AC17" s="5">
        <v>60</v>
      </c>
      <c r="AD17" s="5">
        <v>60</v>
      </c>
      <c r="AE17" s="5">
        <v>72</v>
      </c>
      <c r="AF17" s="5">
        <v>72</v>
      </c>
      <c r="AG17" s="5">
        <v>72</v>
      </c>
      <c r="AH17" s="5">
        <v>72</v>
      </c>
      <c r="AI17" s="5">
        <v>72</v>
      </c>
      <c r="AJ17" s="5">
        <v>84</v>
      </c>
      <c r="AK17" s="5">
        <v>84</v>
      </c>
      <c r="AL17" s="5">
        <v>84</v>
      </c>
      <c r="AM17" s="5">
        <v>84</v>
      </c>
      <c r="AN17" s="5">
        <v>84</v>
      </c>
      <c r="AO17" s="5">
        <v>96</v>
      </c>
      <c r="AP17" s="5">
        <v>96</v>
      </c>
      <c r="AQ17" s="5">
        <v>96</v>
      </c>
      <c r="AR17" s="5">
        <v>96</v>
      </c>
      <c r="AS17" s="5">
        <v>96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/>
      <c r="BN17"/>
      <c r="BO17"/>
      <c r="BP17"/>
      <c r="BQ17"/>
      <c r="BR17"/>
    </row>
    <row r="18" spans="2:85" ht="23.25" customHeight="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2:85" s="12" customFormat="1" ht="23.25" customHeight="1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Z19"/>
      <c r="CA19"/>
      <c r="CB19"/>
      <c r="CC19"/>
      <c r="CD19"/>
      <c r="CE19"/>
      <c r="CF19"/>
      <c r="CG19"/>
    </row>
    <row r="20" spans="2:85" ht="23.25" customHeight="1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2:85" ht="16.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2:85" ht="16.5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2:85" ht="16.5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2:85" ht="16.5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2:85" ht="16.5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2:85" ht="16.5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2:85" ht="16.5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2:85" ht="16.5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BC28" s="26"/>
      <c r="BD28" s="26"/>
      <c r="BE28" s="26"/>
    </row>
    <row r="34" ht="16.5" hidden="1" customHeight="1" x14ac:dyDescent="0.25"/>
    <row r="35" ht="16.5" hidden="1" customHeight="1" x14ac:dyDescent="0.25"/>
    <row r="36" ht="16.5" hidden="1" customHeight="1" x14ac:dyDescent="0.25"/>
    <row r="37" ht="16.5" hidden="1" customHeight="1" x14ac:dyDescent="0.25"/>
    <row r="38" ht="16.5" hidden="1" customHeight="1" x14ac:dyDescent="0.25"/>
    <row r="39" ht="16.5" hidden="1" customHeight="1" x14ac:dyDescent="0.25"/>
    <row r="40" ht="16.5" hidden="1" customHeight="1" x14ac:dyDescent="0.25"/>
    <row r="41" ht="16.5" hidden="1" customHeight="1" x14ac:dyDescent="0.25"/>
    <row r="42" ht="16.5" hidden="1" customHeight="1" x14ac:dyDescent="0.25"/>
    <row r="43" ht="16.5" hidden="1" customHeight="1" x14ac:dyDescent="0.25"/>
    <row r="44" ht="16.5" hidden="1" customHeight="1" x14ac:dyDescent="0.25"/>
    <row r="45" ht="16.5" hidden="1" customHeight="1" x14ac:dyDescent="0.25"/>
    <row r="46" ht="16.5" hidden="1" customHeight="1" x14ac:dyDescent="0.25"/>
    <row r="49" ht="15" hidden="1" customHeight="1" x14ac:dyDescent="0.25"/>
    <row r="50" ht="15" hidden="1" customHeight="1" x14ac:dyDescent="0.25"/>
    <row r="51" ht="15" hidden="1" customHeight="1" x14ac:dyDescent="0.25"/>
    <row r="52" ht="15" hidden="1" customHeight="1" x14ac:dyDescent="0.25"/>
    <row r="53" ht="15" hidden="1" customHeight="1" x14ac:dyDescent="0.25"/>
    <row r="54" ht="15" hidden="1" customHeight="1" x14ac:dyDescent="0.25"/>
    <row r="55" ht="15" hidden="1" customHeight="1" x14ac:dyDescent="0.25"/>
    <row r="56" ht="15" hidden="1" customHeight="1" x14ac:dyDescent="0.25"/>
    <row r="57" ht="15" hidden="1" customHeight="1" x14ac:dyDescent="0.25"/>
    <row r="58" ht="15" hidden="1" customHeight="1" x14ac:dyDescent="0.25"/>
    <row r="59" ht="15" hidden="1" customHeight="1" x14ac:dyDescent="0.25"/>
    <row r="60" ht="15" hidden="1" customHeight="1" x14ac:dyDescent="0.25"/>
    <row r="61" ht="15" hidden="1" customHeight="1" x14ac:dyDescent="0.25"/>
    <row r="62" ht="15" hidden="1" customHeight="1" x14ac:dyDescent="0.25"/>
    <row r="63" ht="15" hidden="1" customHeight="1" x14ac:dyDescent="0.25"/>
    <row r="64" ht="15" hidden="1" customHeight="1" x14ac:dyDescent="0.25"/>
  </sheetData>
  <mergeCells count="19">
    <mergeCell ref="C11:C12"/>
    <mergeCell ref="D11:D12"/>
    <mergeCell ref="F6:BL6"/>
    <mergeCell ref="B13:B14"/>
    <mergeCell ref="C13:C14"/>
    <mergeCell ref="D13:D14"/>
    <mergeCell ref="B17:E17"/>
    <mergeCell ref="B1:X2"/>
    <mergeCell ref="B4:E4"/>
    <mergeCell ref="B6:B8"/>
    <mergeCell ref="C6:D7"/>
    <mergeCell ref="E6:E8"/>
    <mergeCell ref="B15:B16"/>
    <mergeCell ref="C15:C16"/>
    <mergeCell ref="D15:D16"/>
    <mergeCell ref="B9:B10"/>
    <mergeCell ref="C9:C10"/>
    <mergeCell ref="D9:D10"/>
    <mergeCell ref="B11:B12"/>
  </mergeCells>
  <conditionalFormatting sqref="F13 BI13:BL13 L13:X13">
    <cfRule type="containsBlanks" dxfId="292" priority="125">
      <formula>LEN(TRIM(F13))=0</formula>
    </cfRule>
  </conditionalFormatting>
  <conditionalFormatting sqref="Q13 BH13">
    <cfRule type="containsBlanks" dxfId="291" priority="124">
      <formula>LEN(TRIM(Q13))=0</formula>
    </cfRule>
  </conditionalFormatting>
  <conditionalFormatting sqref="K13">
    <cfRule type="containsBlanks" dxfId="290" priority="123">
      <formula>LEN(TRIM(K13))=0</formula>
    </cfRule>
  </conditionalFormatting>
  <conditionalFormatting sqref="G13">
    <cfRule type="containsBlanks" dxfId="289" priority="122">
      <formula>LEN(TRIM(G13))=0</formula>
    </cfRule>
  </conditionalFormatting>
  <conditionalFormatting sqref="J13">
    <cfRule type="containsBlanks" dxfId="288" priority="121">
      <formula>LEN(TRIM(J13))=0</formula>
    </cfRule>
  </conditionalFormatting>
  <conditionalFormatting sqref="I13">
    <cfRule type="containsBlanks" dxfId="287" priority="120">
      <formula>LEN(TRIM(I13))=0</formula>
    </cfRule>
  </conditionalFormatting>
  <conditionalFormatting sqref="H13">
    <cfRule type="containsBlanks" dxfId="286" priority="119">
      <formula>LEN(TRIM(H13))=0</formula>
    </cfRule>
  </conditionalFormatting>
  <conditionalFormatting sqref="BL13 AY13:BC13">
    <cfRule type="containsBlanks" dxfId="285" priority="118">
      <formula>LEN(TRIM(AY13))=0</formula>
    </cfRule>
  </conditionalFormatting>
  <conditionalFormatting sqref="BE13:BK13">
    <cfRule type="containsBlanks" dxfId="284" priority="117">
      <formula>LEN(TRIM(BE13))=0</formula>
    </cfRule>
  </conditionalFormatting>
  <conditionalFormatting sqref="BD13">
    <cfRule type="containsBlanks" dxfId="283" priority="116">
      <formula>LEN(TRIM(BD13))=0</formula>
    </cfRule>
  </conditionalFormatting>
  <conditionalFormatting sqref="AX13">
    <cfRule type="containsBlanks" dxfId="282" priority="115">
      <formula>LEN(TRIM(AX13))=0</formula>
    </cfRule>
  </conditionalFormatting>
  <conditionalFormatting sqref="AT13">
    <cfRule type="containsBlanks" dxfId="281" priority="114">
      <formula>LEN(TRIM(AT13))=0</formula>
    </cfRule>
  </conditionalFormatting>
  <conditionalFormatting sqref="AW13">
    <cfRule type="containsBlanks" dxfId="280" priority="113">
      <formula>LEN(TRIM(AW13))=0</formula>
    </cfRule>
  </conditionalFormatting>
  <conditionalFormatting sqref="AV13">
    <cfRule type="containsBlanks" dxfId="279" priority="112">
      <formula>LEN(TRIM(AV13))=0</formula>
    </cfRule>
  </conditionalFormatting>
  <conditionalFormatting sqref="AU13">
    <cfRule type="containsBlanks" dxfId="278" priority="111">
      <formula>LEN(TRIM(AU13))=0</formula>
    </cfRule>
  </conditionalFormatting>
  <conditionalFormatting sqref="Y13">
    <cfRule type="containsBlanks" dxfId="277" priority="110">
      <formula>LEN(TRIM(Y13))=0</formula>
    </cfRule>
  </conditionalFormatting>
  <conditionalFormatting sqref="R13">
    <cfRule type="containsBlanks" dxfId="276" priority="109">
      <formula>LEN(TRIM(R13))=0</formula>
    </cfRule>
  </conditionalFormatting>
  <conditionalFormatting sqref="F9 BI9:BL9 L9:X9">
    <cfRule type="containsBlanks" dxfId="275" priority="98">
      <formula>LEN(TRIM(F9))=0</formula>
    </cfRule>
  </conditionalFormatting>
  <conditionalFormatting sqref="Q9 BH9">
    <cfRule type="containsBlanks" dxfId="274" priority="97">
      <formula>LEN(TRIM(Q9))=0</formula>
    </cfRule>
  </conditionalFormatting>
  <conditionalFormatting sqref="K9">
    <cfRule type="containsBlanks" dxfId="273" priority="96">
      <formula>LEN(TRIM(K9))=0</formula>
    </cfRule>
  </conditionalFormatting>
  <conditionalFormatting sqref="G9">
    <cfRule type="containsBlanks" dxfId="272" priority="95">
      <formula>LEN(TRIM(G9))=0</formula>
    </cfRule>
  </conditionalFormatting>
  <conditionalFormatting sqref="J9">
    <cfRule type="containsBlanks" dxfId="271" priority="94">
      <formula>LEN(TRIM(J9))=0</formula>
    </cfRule>
  </conditionalFormatting>
  <conditionalFormatting sqref="I9">
    <cfRule type="containsBlanks" dxfId="270" priority="93">
      <formula>LEN(TRIM(I9))=0</formula>
    </cfRule>
  </conditionalFormatting>
  <conditionalFormatting sqref="H9">
    <cfRule type="containsBlanks" dxfId="269" priority="92">
      <formula>LEN(TRIM(H9))=0</formula>
    </cfRule>
  </conditionalFormatting>
  <conditionalFormatting sqref="BL9 AY9:BC9">
    <cfRule type="containsBlanks" dxfId="268" priority="91">
      <formula>LEN(TRIM(AY9))=0</formula>
    </cfRule>
  </conditionalFormatting>
  <conditionalFormatting sqref="BE9:BK9">
    <cfRule type="containsBlanks" dxfId="267" priority="90">
      <formula>LEN(TRIM(BE9))=0</formula>
    </cfRule>
  </conditionalFormatting>
  <conditionalFormatting sqref="BD9">
    <cfRule type="containsBlanks" dxfId="266" priority="89">
      <formula>LEN(TRIM(BD9))=0</formula>
    </cfRule>
  </conditionalFormatting>
  <conditionalFormatting sqref="AX9">
    <cfRule type="containsBlanks" dxfId="265" priority="88">
      <formula>LEN(TRIM(AX9))=0</formula>
    </cfRule>
  </conditionalFormatting>
  <conditionalFormatting sqref="AT9">
    <cfRule type="containsBlanks" dxfId="264" priority="87">
      <formula>LEN(TRIM(AT9))=0</formula>
    </cfRule>
  </conditionalFormatting>
  <conditionalFormatting sqref="AW9">
    <cfRule type="containsBlanks" dxfId="263" priority="86">
      <formula>LEN(TRIM(AW9))=0</formula>
    </cfRule>
  </conditionalFormatting>
  <conditionalFormatting sqref="AV9">
    <cfRule type="containsBlanks" dxfId="262" priority="85">
      <formula>LEN(TRIM(AV9))=0</formula>
    </cfRule>
  </conditionalFormatting>
  <conditionalFormatting sqref="AU9">
    <cfRule type="containsBlanks" dxfId="261" priority="84">
      <formula>LEN(TRIM(AU9))=0</formula>
    </cfRule>
  </conditionalFormatting>
  <conditionalFormatting sqref="Y9">
    <cfRule type="containsBlanks" dxfId="260" priority="83">
      <formula>LEN(TRIM(Y9))=0</formula>
    </cfRule>
  </conditionalFormatting>
  <conditionalFormatting sqref="R9">
    <cfRule type="containsBlanks" dxfId="259" priority="82">
      <formula>LEN(TRIM(R9))=0</formula>
    </cfRule>
  </conditionalFormatting>
  <conditionalFormatting sqref="F11 L11:X11">
    <cfRule type="containsBlanks" dxfId="258" priority="80">
      <formula>LEN(TRIM(F11))=0</formula>
    </cfRule>
  </conditionalFormatting>
  <conditionalFormatting sqref="Q11">
    <cfRule type="containsBlanks" dxfId="257" priority="79">
      <formula>LEN(TRIM(Q11))=0</formula>
    </cfRule>
  </conditionalFormatting>
  <conditionalFormatting sqref="K11">
    <cfRule type="containsBlanks" dxfId="256" priority="78">
      <formula>LEN(TRIM(K11))=0</formula>
    </cfRule>
  </conditionalFormatting>
  <conditionalFormatting sqref="G11">
    <cfRule type="containsBlanks" dxfId="255" priority="77">
      <formula>LEN(TRIM(G11))=0</formula>
    </cfRule>
  </conditionalFormatting>
  <conditionalFormatting sqref="J11">
    <cfRule type="containsBlanks" dxfId="254" priority="76">
      <formula>LEN(TRIM(J11))=0</formula>
    </cfRule>
  </conditionalFormatting>
  <conditionalFormatting sqref="I11">
    <cfRule type="containsBlanks" dxfId="253" priority="75">
      <formula>LEN(TRIM(I11))=0</formula>
    </cfRule>
  </conditionalFormatting>
  <conditionalFormatting sqref="H11">
    <cfRule type="containsBlanks" dxfId="252" priority="74">
      <formula>LEN(TRIM(H11))=0</formula>
    </cfRule>
  </conditionalFormatting>
  <conditionalFormatting sqref="Y11">
    <cfRule type="containsBlanks" dxfId="251" priority="73">
      <formula>LEN(TRIM(Y11))=0</formula>
    </cfRule>
  </conditionalFormatting>
  <conditionalFormatting sqref="R11">
    <cfRule type="containsBlanks" dxfId="250" priority="72">
      <formula>LEN(TRIM(R11))=0</formula>
    </cfRule>
  </conditionalFormatting>
  <conditionalFormatting sqref="F15 L15:Q15">
    <cfRule type="containsBlanks" dxfId="249" priority="71">
      <formula>LEN(TRIM(F15))=0</formula>
    </cfRule>
  </conditionalFormatting>
  <conditionalFormatting sqref="Q15">
    <cfRule type="containsBlanks" dxfId="248" priority="70">
      <formula>LEN(TRIM(Q15))=0</formula>
    </cfRule>
  </conditionalFormatting>
  <conditionalFormatting sqref="K15">
    <cfRule type="containsBlanks" dxfId="247" priority="69">
      <formula>LEN(TRIM(K15))=0</formula>
    </cfRule>
  </conditionalFormatting>
  <conditionalFormatting sqref="G15">
    <cfRule type="containsBlanks" dxfId="246" priority="68">
      <formula>LEN(TRIM(G15))=0</formula>
    </cfRule>
  </conditionalFormatting>
  <conditionalFormatting sqref="J15">
    <cfRule type="containsBlanks" dxfId="245" priority="67">
      <formula>LEN(TRIM(J15))=0</formula>
    </cfRule>
  </conditionalFormatting>
  <conditionalFormatting sqref="I15">
    <cfRule type="containsBlanks" dxfId="244" priority="66">
      <formula>LEN(TRIM(I15))=0</formula>
    </cfRule>
  </conditionalFormatting>
  <conditionalFormatting sqref="H15">
    <cfRule type="containsBlanks" dxfId="243" priority="65">
      <formula>LEN(TRIM(H15))=0</formula>
    </cfRule>
  </conditionalFormatting>
  <conditionalFormatting sqref="X15 AX15:BA15">
    <cfRule type="containsBlanks" dxfId="242" priority="64">
      <formula>LEN(TRIM(X15))=0</formula>
    </cfRule>
  </conditionalFormatting>
  <conditionalFormatting sqref="AS13">
    <cfRule type="containsBlanks" dxfId="241" priority="49">
      <formula>LEN(TRIM(AS13))=0</formula>
    </cfRule>
  </conditionalFormatting>
  <conditionalFormatting sqref="AW15">
    <cfRule type="containsBlanks" dxfId="240" priority="62">
      <formula>LEN(TRIM(AW15))=0</formula>
    </cfRule>
  </conditionalFormatting>
  <conditionalFormatting sqref="Y15">
    <cfRule type="containsBlanks" dxfId="239" priority="61">
      <formula>LEN(TRIM(Y15))=0</formula>
    </cfRule>
  </conditionalFormatting>
  <conditionalFormatting sqref="AV15">
    <cfRule type="containsBlanks" dxfId="238" priority="60">
      <formula>LEN(TRIM(AV15))=0</formula>
    </cfRule>
  </conditionalFormatting>
  <conditionalFormatting sqref="AU15">
    <cfRule type="containsBlanks" dxfId="237" priority="59">
      <formula>LEN(TRIM(AU15))=0</formula>
    </cfRule>
  </conditionalFormatting>
  <conditionalFormatting sqref="AT15">
    <cfRule type="containsBlanks" dxfId="236" priority="58">
      <formula>LEN(TRIM(AT15))=0</formula>
    </cfRule>
  </conditionalFormatting>
  <conditionalFormatting sqref="Z13 AF13:AR13">
    <cfRule type="containsBlanks" dxfId="235" priority="56">
      <formula>LEN(TRIM(Z13))=0</formula>
    </cfRule>
  </conditionalFormatting>
  <conditionalFormatting sqref="AK13">
    <cfRule type="containsBlanks" dxfId="234" priority="55">
      <formula>LEN(TRIM(AK13))=0</formula>
    </cfRule>
  </conditionalFormatting>
  <conditionalFormatting sqref="AE13">
    <cfRule type="containsBlanks" dxfId="233" priority="54">
      <formula>LEN(TRIM(AE13))=0</formula>
    </cfRule>
  </conditionalFormatting>
  <conditionalFormatting sqref="AA13">
    <cfRule type="containsBlanks" dxfId="232" priority="53">
      <formula>LEN(TRIM(AA13))=0</formula>
    </cfRule>
  </conditionalFormatting>
  <conditionalFormatting sqref="AD13">
    <cfRule type="containsBlanks" dxfId="231" priority="52">
      <formula>LEN(TRIM(AD13))=0</formula>
    </cfRule>
  </conditionalFormatting>
  <conditionalFormatting sqref="AC13">
    <cfRule type="containsBlanks" dxfId="230" priority="51">
      <formula>LEN(TRIM(AC13))=0</formula>
    </cfRule>
  </conditionalFormatting>
  <conditionalFormatting sqref="AB13">
    <cfRule type="containsBlanks" dxfId="229" priority="50">
      <formula>LEN(TRIM(AB13))=0</formula>
    </cfRule>
  </conditionalFormatting>
  <conditionalFormatting sqref="AL13">
    <cfRule type="containsBlanks" dxfId="228" priority="48">
      <formula>LEN(TRIM(AL13))=0</formula>
    </cfRule>
  </conditionalFormatting>
  <conditionalFormatting sqref="Z9 AF9:AR9">
    <cfRule type="containsBlanks" dxfId="227" priority="47">
      <formula>LEN(TRIM(Z9))=0</formula>
    </cfRule>
  </conditionalFormatting>
  <conditionalFormatting sqref="AK9">
    <cfRule type="containsBlanks" dxfId="226" priority="46">
      <formula>LEN(TRIM(AK9))=0</formula>
    </cfRule>
  </conditionalFormatting>
  <conditionalFormatting sqref="AE9">
    <cfRule type="containsBlanks" dxfId="225" priority="45">
      <formula>LEN(TRIM(AE9))=0</formula>
    </cfRule>
  </conditionalFormatting>
  <conditionalFormatting sqref="AA9">
    <cfRule type="containsBlanks" dxfId="224" priority="44">
      <formula>LEN(TRIM(AA9))=0</formula>
    </cfRule>
  </conditionalFormatting>
  <conditionalFormatting sqref="AD9">
    <cfRule type="containsBlanks" dxfId="223" priority="43">
      <formula>LEN(TRIM(AD9))=0</formula>
    </cfRule>
  </conditionalFormatting>
  <conditionalFormatting sqref="AC9">
    <cfRule type="containsBlanks" dxfId="222" priority="42">
      <formula>LEN(TRIM(AC9))=0</formula>
    </cfRule>
  </conditionalFormatting>
  <conditionalFormatting sqref="AB9">
    <cfRule type="containsBlanks" dxfId="221" priority="41">
      <formula>LEN(TRIM(AB9))=0</formula>
    </cfRule>
  </conditionalFormatting>
  <conditionalFormatting sqref="AS9">
    <cfRule type="containsBlanks" dxfId="220" priority="40">
      <formula>LEN(TRIM(AS9))=0</formula>
    </cfRule>
  </conditionalFormatting>
  <conditionalFormatting sqref="AL9">
    <cfRule type="containsBlanks" dxfId="219" priority="39">
      <formula>LEN(TRIM(AL9))=0</formula>
    </cfRule>
  </conditionalFormatting>
  <conditionalFormatting sqref="Z11 AF11:AR11">
    <cfRule type="containsBlanks" dxfId="218" priority="38">
      <formula>LEN(TRIM(Z11))=0</formula>
    </cfRule>
  </conditionalFormatting>
  <conditionalFormatting sqref="AK11">
    <cfRule type="containsBlanks" dxfId="217" priority="37">
      <formula>LEN(TRIM(AK11))=0</formula>
    </cfRule>
  </conditionalFormatting>
  <conditionalFormatting sqref="AE11">
    <cfRule type="containsBlanks" dxfId="216" priority="36">
      <formula>LEN(TRIM(AE11))=0</formula>
    </cfRule>
  </conditionalFormatting>
  <conditionalFormatting sqref="AA11">
    <cfRule type="containsBlanks" dxfId="215" priority="35">
      <formula>LEN(TRIM(AA11))=0</formula>
    </cfRule>
  </conditionalFormatting>
  <conditionalFormatting sqref="AD11">
    <cfRule type="containsBlanks" dxfId="214" priority="34">
      <formula>LEN(TRIM(AD11))=0</formula>
    </cfRule>
  </conditionalFormatting>
  <conditionalFormatting sqref="AC11">
    <cfRule type="containsBlanks" dxfId="213" priority="33">
      <formula>LEN(TRIM(AC11))=0</formula>
    </cfRule>
  </conditionalFormatting>
  <conditionalFormatting sqref="AB11">
    <cfRule type="containsBlanks" dxfId="212" priority="32">
      <formula>LEN(TRIM(AB11))=0</formula>
    </cfRule>
  </conditionalFormatting>
  <conditionalFormatting sqref="AS11">
    <cfRule type="containsBlanks" dxfId="211" priority="31">
      <formula>LEN(TRIM(AS11))=0</formula>
    </cfRule>
  </conditionalFormatting>
  <conditionalFormatting sqref="AL11">
    <cfRule type="containsBlanks" dxfId="210" priority="30">
      <formula>LEN(TRIM(AL11))=0</formula>
    </cfRule>
  </conditionalFormatting>
  <conditionalFormatting sqref="Z15 AF15:AJ15">
    <cfRule type="containsBlanks" dxfId="209" priority="29">
      <formula>LEN(TRIM(Z15))=0</formula>
    </cfRule>
  </conditionalFormatting>
  <conditionalFormatting sqref="AA15">
    <cfRule type="containsBlanks" dxfId="208" priority="26">
      <formula>LEN(TRIM(AA15))=0</formula>
    </cfRule>
  </conditionalFormatting>
  <conditionalFormatting sqref="AE15">
    <cfRule type="containsBlanks" dxfId="207" priority="27">
      <formula>LEN(TRIM(AE15))=0</formula>
    </cfRule>
  </conditionalFormatting>
  <conditionalFormatting sqref="AD15">
    <cfRule type="containsBlanks" dxfId="206" priority="25">
      <formula>LEN(TRIM(AD15))=0</formula>
    </cfRule>
  </conditionalFormatting>
  <conditionalFormatting sqref="AC15">
    <cfRule type="containsBlanks" dxfId="205" priority="24">
      <formula>LEN(TRIM(AC15))=0</formula>
    </cfRule>
  </conditionalFormatting>
  <conditionalFormatting sqref="AB15">
    <cfRule type="containsBlanks" dxfId="204" priority="23">
      <formula>LEN(TRIM(AB15))=0</formula>
    </cfRule>
  </conditionalFormatting>
  <conditionalFormatting sqref="AR15">
    <cfRule type="containsBlanks" dxfId="203" priority="22">
      <formula>LEN(TRIM(AR15))=0</formula>
    </cfRule>
  </conditionalFormatting>
  <conditionalFormatting sqref="AS15">
    <cfRule type="containsBlanks" dxfId="202" priority="21">
      <formula>LEN(TRIM(AS15))=0</formula>
    </cfRule>
  </conditionalFormatting>
  <conditionalFormatting sqref="AK15">
    <cfRule type="containsBlanks" dxfId="201" priority="1">
      <formula>LEN(TRIM(AK15))=0</formula>
    </cfRule>
  </conditionalFormatting>
  <conditionalFormatting sqref="AT11 AZ11:BA11">
    <cfRule type="containsBlanks" dxfId="200" priority="20">
      <formula>LEN(TRIM(AT11))=0</formula>
    </cfRule>
  </conditionalFormatting>
  <conditionalFormatting sqref="AY11">
    <cfRule type="containsBlanks" dxfId="199" priority="19">
      <formula>LEN(TRIM(AY11))=0</formula>
    </cfRule>
  </conditionalFormatting>
  <conditionalFormatting sqref="AU11">
    <cfRule type="containsBlanks" dxfId="198" priority="18">
      <formula>LEN(TRIM(AU11))=0</formula>
    </cfRule>
  </conditionalFormatting>
  <conditionalFormatting sqref="AX11">
    <cfRule type="containsBlanks" dxfId="197" priority="17">
      <formula>LEN(TRIM(AX11))=0</formula>
    </cfRule>
  </conditionalFormatting>
  <conditionalFormatting sqref="AW11">
    <cfRule type="containsBlanks" dxfId="196" priority="16">
      <formula>LEN(TRIM(AW11))=0</formula>
    </cfRule>
  </conditionalFormatting>
  <conditionalFormatting sqref="AV11">
    <cfRule type="containsBlanks" dxfId="195" priority="15">
      <formula>LEN(TRIM(AV11))=0</formula>
    </cfRule>
  </conditionalFormatting>
  <conditionalFormatting sqref="BB15 BH15:BL15">
    <cfRule type="containsBlanks" dxfId="194" priority="14">
      <formula>LEN(TRIM(BB15))=0</formula>
    </cfRule>
  </conditionalFormatting>
  <conditionalFormatting sqref="BG15">
    <cfRule type="containsBlanks" dxfId="193" priority="13">
      <formula>LEN(TRIM(BG15))=0</formula>
    </cfRule>
  </conditionalFormatting>
  <conditionalFormatting sqref="BC15">
    <cfRule type="containsBlanks" dxfId="192" priority="12">
      <formula>LEN(TRIM(BC15))=0</formula>
    </cfRule>
  </conditionalFormatting>
  <conditionalFormatting sqref="BF15">
    <cfRule type="containsBlanks" dxfId="191" priority="11">
      <formula>LEN(TRIM(BF15))=0</formula>
    </cfRule>
  </conditionalFormatting>
  <conditionalFormatting sqref="BE15">
    <cfRule type="containsBlanks" dxfId="190" priority="10">
      <formula>LEN(TRIM(BE15))=0</formula>
    </cfRule>
  </conditionalFormatting>
  <conditionalFormatting sqref="BD15">
    <cfRule type="containsBlanks" dxfId="189" priority="9">
      <formula>LEN(TRIM(BD15))=0</formula>
    </cfRule>
  </conditionalFormatting>
  <conditionalFormatting sqref="BB11 BH11:BL11">
    <cfRule type="containsBlanks" dxfId="188" priority="8">
      <formula>LEN(TRIM(BB11))=0</formula>
    </cfRule>
  </conditionalFormatting>
  <conditionalFormatting sqref="BG11">
    <cfRule type="containsBlanks" dxfId="187" priority="7">
      <formula>LEN(TRIM(BG11))=0</formula>
    </cfRule>
  </conditionalFormatting>
  <conditionalFormatting sqref="BC11">
    <cfRule type="containsBlanks" dxfId="186" priority="6">
      <formula>LEN(TRIM(BC11))=0</formula>
    </cfRule>
  </conditionalFormatting>
  <conditionalFormatting sqref="BF11">
    <cfRule type="containsBlanks" dxfId="185" priority="5">
      <formula>LEN(TRIM(BF11))=0</formula>
    </cfRule>
  </conditionalFormatting>
  <conditionalFormatting sqref="BE11">
    <cfRule type="containsBlanks" dxfId="184" priority="4">
      <formula>LEN(TRIM(BE11))=0</formula>
    </cfRule>
  </conditionalFormatting>
  <conditionalFormatting sqref="BD11">
    <cfRule type="containsBlanks" dxfId="183" priority="3">
      <formula>LEN(TRIM(BD11))=0</formula>
    </cfRule>
  </conditionalFormatting>
  <conditionalFormatting sqref="AK15:AQ15">
    <cfRule type="containsBlanks" dxfId="182" priority="2">
      <formula>LEN(TRIM(AK15))=0</formula>
    </cfRule>
  </conditionalFormatting>
  <printOptions horizontalCentered="1" verticalCentered="1"/>
  <pageMargins left="0.2" right="0" top="0" bottom="0" header="0" footer="0"/>
  <pageSetup paperSize="9" scale="71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Blanks" priority="612" id="{34A554C2-3792-42E9-B7B3-0D623EA5FA82}">
            <xm:f>LEN(TRIM('Cell 10 603'!R11))=0</xm:f>
            <x14:dxf>
              <fill>
                <patternFill>
                  <bgColor theme="1"/>
                </patternFill>
              </fill>
            </x14:dxf>
          </x14:cfRule>
          <xm:sqref>R15:W15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M58"/>
  <sheetViews>
    <sheetView showGridLines="0" zoomScaleNormal="100" workbookViewId="0">
      <selection activeCell="AT9" sqref="AT9"/>
    </sheetView>
  </sheetViews>
  <sheetFormatPr defaultRowHeight="15" x14ac:dyDescent="0.25"/>
  <cols>
    <col min="1" max="1" width="4" customWidth="1"/>
    <col min="2" max="2" width="26" customWidth="1"/>
    <col min="3" max="4" width="7.5703125" hidden="1" customWidth="1"/>
    <col min="5" max="5" width="27.28515625" customWidth="1"/>
    <col min="6" max="6" width="6.7109375" customWidth="1"/>
    <col min="7" max="7" width="7.7109375" customWidth="1"/>
    <col min="8" max="25" width="6.7109375" customWidth="1"/>
    <col min="26" max="44" width="9.140625" hidden="1" customWidth="1"/>
  </cols>
  <sheetData>
    <row r="1" spans="2:65" ht="16.5" customHeight="1" x14ac:dyDescent="0.3"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1"/>
    </row>
    <row r="2" spans="2:65" ht="40.5" customHeight="1" x14ac:dyDescent="0.3"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1"/>
    </row>
    <row r="3" spans="2:65" ht="21" customHeight="1" x14ac:dyDescent="0.3">
      <c r="B3" s="25"/>
      <c r="C3" s="25"/>
      <c r="D3" s="25"/>
      <c r="E3" s="25"/>
      <c r="F3" s="25"/>
      <c r="G3" s="25"/>
      <c r="H3" s="2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2:65" s="2" customFormat="1" ht="18" x14ac:dyDescent="0.25">
      <c r="B4" s="309" t="s">
        <v>18</v>
      </c>
      <c r="C4" s="309"/>
      <c r="D4" s="309"/>
      <c r="E4" s="309"/>
      <c r="F4" s="27" t="s">
        <v>26</v>
      </c>
      <c r="G4" s="27"/>
      <c r="J4" s="27"/>
      <c r="K4" s="27"/>
      <c r="L4" s="27"/>
      <c r="M4" s="27"/>
      <c r="N4" s="28"/>
      <c r="T4" s="28"/>
      <c r="V4" s="28"/>
      <c r="W4" s="28" t="s">
        <v>22</v>
      </c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</row>
    <row r="5" spans="2:65" ht="3" customHeigh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2:65" s="2" customFormat="1" ht="23.25" customHeight="1" x14ac:dyDescent="0.25">
      <c r="B6" s="310" t="s">
        <v>0</v>
      </c>
      <c r="C6" s="313" t="s">
        <v>1</v>
      </c>
      <c r="D6" s="314"/>
      <c r="E6" s="310" t="s">
        <v>2</v>
      </c>
      <c r="F6" s="317" t="s">
        <v>16</v>
      </c>
      <c r="G6" s="318"/>
      <c r="H6" s="318"/>
      <c r="I6" s="318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1"/>
      <c r="BF6" s="12"/>
      <c r="BG6" s="12"/>
      <c r="BH6" s="12"/>
      <c r="BI6" s="12"/>
      <c r="BJ6" s="12"/>
      <c r="BK6" s="12"/>
      <c r="BL6" s="12"/>
    </row>
    <row r="7" spans="2:65" s="2" customFormat="1" ht="23.25" customHeight="1" x14ac:dyDescent="0.25">
      <c r="B7" s="311"/>
      <c r="C7" s="315"/>
      <c r="D7" s="316"/>
      <c r="E7" s="311"/>
      <c r="F7" s="3">
        <v>1</v>
      </c>
      <c r="G7" s="3">
        <f>1+F7</f>
        <v>2</v>
      </c>
      <c r="H7" s="3">
        <f>1+G7</f>
        <v>3</v>
      </c>
      <c r="I7" s="3">
        <f t="shared" ref="I7:Y7" si="0">1+H7</f>
        <v>4</v>
      </c>
      <c r="J7" s="3">
        <f t="shared" si="0"/>
        <v>5</v>
      </c>
      <c r="K7" s="3">
        <f t="shared" si="0"/>
        <v>6</v>
      </c>
      <c r="L7" s="3">
        <f t="shared" si="0"/>
        <v>7</v>
      </c>
      <c r="M7" s="3">
        <f t="shared" si="0"/>
        <v>8</v>
      </c>
      <c r="N7" s="3">
        <f t="shared" si="0"/>
        <v>9</v>
      </c>
      <c r="O7" s="3">
        <f t="shared" si="0"/>
        <v>10</v>
      </c>
      <c r="P7" s="3">
        <f t="shared" si="0"/>
        <v>11</v>
      </c>
      <c r="Q7" s="3">
        <f t="shared" si="0"/>
        <v>12</v>
      </c>
      <c r="R7" s="3">
        <f t="shared" si="0"/>
        <v>13</v>
      </c>
      <c r="S7" s="3">
        <f t="shared" si="0"/>
        <v>14</v>
      </c>
      <c r="T7" s="3">
        <f t="shared" si="0"/>
        <v>15</v>
      </c>
      <c r="U7" s="3">
        <f t="shared" si="0"/>
        <v>16</v>
      </c>
      <c r="V7" s="3">
        <f>1+U7</f>
        <v>17</v>
      </c>
      <c r="W7" s="3">
        <f t="shared" si="0"/>
        <v>18</v>
      </c>
      <c r="X7" s="3">
        <f t="shared" si="0"/>
        <v>19</v>
      </c>
      <c r="Y7" s="3">
        <f t="shared" si="0"/>
        <v>20</v>
      </c>
      <c r="Z7" s="3">
        <f>1+Y7</f>
        <v>21</v>
      </c>
      <c r="AA7" s="3">
        <f>1+Z7</f>
        <v>22</v>
      </c>
      <c r="AB7" s="3">
        <f t="shared" ref="AB7:AQ7" si="1">1+AA7</f>
        <v>23</v>
      </c>
      <c r="AC7" s="3">
        <f t="shared" si="1"/>
        <v>24</v>
      </c>
      <c r="AD7" s="3">
        <f t="shared" si="1"/>
        <v>25</v>
      </c>
      <c r="AE7" s="3">
        <f t="shared" si="1"/>
        <v>26</v>
      </c>
      <c r="AF7" s="3">
        <f t="shared" si="1"/>
        <v>27</v>
      </c>
      <c r="AG7" s="3">
        <f t="shared" si="1"/>
        <v>28</v>
      </c>
      <c r="AH7" s="3">
        <f t="shared" si="1"/>
        <v>29</v>
      </c>
      <c r="AI7" s="3">
        <f t="shared" si="1"/>
        <v>30</v>
      </c>
      <c r="AJ7" s="3">
        <f t="shared" si="1"/>
        <v>31</v>
      </c>
      <c r="AK7" s="3">
        <f t="shared" si="1"/>
        <v>32</v>
      </c>
      <c r="AL7" s="3">
        <f t="shared" si="1"/>
        <v>33</v>
      </c>
      <c r="AM7" s="3">
        <f t="shared" si="1"/>
        <v>34</v>
      </c>
      <c r="AN7" s="3">
        <f t="shared" si="1"/>
        <v>35</v>
      </c>
      <c r="AO7" s="3">
        <f t="shared" si="1"/>
        <v>36</v>
      </c>
      <c r="AP7" s="3">
        <f t="shared" si="1"/>
        <v>37</v>
      </c>
      <c r="AQ7" s="3">
        <f t="shared" si="1"/>
        <v>38</v>
      </c>
      <c r="AR7" s="3"/>
      <c r="BF7"/>
      <c r="BG7"/>
      <c r="BH7"/>
      <c r="BI7"/>
      <c r="BJ7"/>
      <c r="BK7"/>
      <c r="BL7"/>
    </row>
    <row r="8" spans="2:65" s="2" customFormat="1" ht="23.25" customHeight="1" x14ac:dyDescent="0.25">
      <c r="B8" s="312"/>
      <c r="C8" s="15" t="s">
        <v>4</v>
      </c>
      <c r="D8" s="15" t="s">
        <v>5</v>
      </c>
      <c r="E8" s="312"/>
      <c r="F8" s="4">
        <v>46063</v>
      </c>
      <c r="G8" s="4">
        <v>46064</v>
      </c>
      <c r="H8" s="4">
        <v>46065</v>
      </c>
      <c r="I8" s="4">
        <v>46066</v>
      </c>
      <c r="J8" s="4">
        <v>46069</v>
      </c>
      <c r="K8" s="4">
        <v>46070</v>
      </c>
      <c r="L8" s="4">
        <v>46071</v>
      </c>
      <c r="M8" s="4">
        <v>46072</v>
      </c>
      <c r="N8" s="4">
        <v>46073</v>
      </c>
      <c r="O8" s="4">
        <v>46074</v>
      </c>
      <c r="P8" s="4">
        <v>46076</v>
      </c>
      <c r="Q8" s="4">
        <v>46077</v>
      </c>
      <c r="R8" s="4">
        <v>46078</v>
      </c>
      <c r="S8" s="4">
        <v>46079</v>
      </c>
      <c r="T8" s="4">
        <v>46080</v>
      </c>
      <c r="U8" s="4">
        <v>46081</v>
      </c>
      <c r="V8" s="4">
        <v>46083</v>
      </c>
      <c r="W8" s="4">
        <v>46084</v>
      </c>
      <c r="X8" s="4">
        <v>46085</v>
      </c>
      <c r="Y8" s="4">
        <v>46086</v>
      </c>
      <c r="Z8" s="4">
        <v>46087</v>
      </c>
      <c r="AA8" s="4">
        <v>46088</v>
      </c>
      <c r="AB8" s="4">
        <v>46089</v>
      </c>
      <c r="AC8" s="4">
        <v>46090</v>
      </c>
      <c r="AD8" s="4">
        <v>46091</v>
      </c>
      <c r="AE8" s="4">
        <v>46092</v>
      </c>
      <c r="AF8" s="4">
        <v>46093</v>
      </c>
      <c r="AG8" s="4">
        <v>46094</v>
      </c>
      <c r="AH8" s="4">
        <v>46095</v>
      </c>
      <c r="AI8" s="4">
        <v>46096</v>
      </c>
      <c r="AJ8" s="4">
        <v>46097</v>
      </c>
      <c r="AK8" s="4">
        <v>46098</v>
      </c>
      <c r="AL8" s="4">
        <v>46099</v>
      </c>
      <c r="AM8" s="4">
        <v>46100</v>
      </c>
      <c r="AN8" s="4">
        <v>46101</v>
      </c>
      <c r="AO8" s="4">
        <v>46102</v>
      </c>
      <c r="AP8" s="4">
        <v>46103</v>
      </c>
      <c r="AQ8" s="4">
        <v>46104</v>
      </c>
      <c r="AR8" s="4"/>
      <c r="BF8" s="12"/>
      <c r="BG8" s="12"/>
      <c r="BH8"/>
      <c r="BI8"/>
      <c r="BJ8"/>
      <c r="BK8"/>
      <c r="BL8"/>
      <c r="BM8"/>
    </row>
    <row r="9" spans="2:65" ht="23.25" customHeight="1" x14ac:dyDescent="0.25">
      <c r="B9" s="304" t="s">
        <v>14</v>
      </c>
      <c r="C9" s="304"/>
      <c r="D9" s="304"/>
      <c r="E9" s="14" t="s">
        <v>10</v>
      </c>
      <c r="F9" s="8">
        <v>258</v>
      </c>
      <c r="G9" s="8">
        <v>234</v>
      </c>
      <c r="H9" s="9">
        <v>360</v>
      </c>
      <c r="I9" s="9">
        <v>450</v>
      </c>
      <c r="J9" s="9">
        <v>437</v>
      </c>
      <c r="K9" s="9">
        <v>317</v>
      </c>
      <c r="L9" s="31">
        <v>409</v>
      </c>
      <c r="M9" s="10">
        <v>102</v>
      </c>
      <c r="N9" s="10">
        <v>450</v>
      </c>
      <c r="O9" s="10">
        <v>342</v>
      </c>
      <c r="P9" s="10">
        <v>366</v>
      </c>
      <c r="Q9" s="10">
        <v>438</v>
      </c>
      <c r="R9" s="9">
        <v>360</v>
      </c>
      <c r="S9" s="9">
        <v>480</v>
      </c>
      <c r="T9" s="9">
        <v>397</v>
      </c>
      <c r="U9" s="9">
        <v>397</v>
      </c>
      <c r="V9" s="9">
        <v>466</v>
      </c>
      <c r="W9" s="10">
        <v>342</v>
      </c>
      <c r="X9" s="10">
        <v>324</v>
      </c>
      <c r="Y9" s="10">
        <v>306</v>
      </c>
      <c r="Z9" s="8"/>
      <c r="AA9" s="9"/>
      <c r="AB9" s="9"/>
      <c r="AC9" s="9"/>
      <c r="AD9" s="9"/>
      <c r="AE9" s="23"/>
      <c r="AF9" s="10"/>
      <c r="AG9" s="10"/>
      <c r="AH9" s="10"/>
      <c r="AI9" s="10"/>
      <c r="AJ9" s="10"/>
      <c r="AK9" s="9"/>
      <c r="AL9" s="9"/>
      <c r="AM9" s="9"/>
      <c r="AN9" s="9"/>
      <c r="AO9" s="10"/>
      <c r="AP9" s="9"/>
      <c r="AQ9" s="10"/>
      <c r="AR9" s="10"/>
      <c r="AS9" s="89"/>
      <c r="AT9" s="71"/>
      <c r="AV9" t="s">
        <v>15</v>
      </c>
    </row>
    <row r="10" spans="2:65" ht="23.25" customHeight="1" x14ac:dyDescent="0.25">
      <c r="B10" s="305"/>
      <c r="C10" s="305"/>
      <c r="D10" s="305"/>
      <c r="E10" s="14" t="s">
        <v>6</v>
      </c>
      <c r="F10" s="11">
        <f t="shared" ref="F10:K10" si="2">F9/8</f>
        <v>32.25</v>
      </c>
      <c r="G10" s="11">
        <f t="shared" si="2"/>
        <v>29.25</v>
      </c>
      <c r="H10" s="11">
        <f t="shared" si="2"/>
        <v>45</v>
      </c>
      <c r="I10" s="11">
        <f t="shared" si="2"/>
        <v>56.25</v>
      </c>
      <c r="J10" s="11">
        <f t="shared" si="2"/>
        <v>54.625</v>
      </c>
      <c r="K10" s="11">
        <f t="shared" si="2"/>
        <v>39.625</v>
      </c>
      <c r="L10" s="11">
        <f>SUM(L9:L9)/8</f>
        <v>51.125</v>
      </c>
      <c r="M10" s="11">
        <f>+M9/8</f>
        <v>12.75</v>
      </c>
      <c r="N10" s="11">
        <f t="shared" ref="N10:Y10" si="3">+N9/8</f>
        <v>56.25</v>
      </c>
      <c r="O10" s="11">
        <f t="shared" si="3"/>
        <v>42.75</v>
      </c>
      <c r="P10" s="11">
        <f t="shared" si="3"/>
        <v>45.75</v>
      </c>
      <c r="Q10" s="11">
        <f t="shared" si="3"/>
        <v>54.75</v>
      </c>
      <c r="R10" s="11">
        <f t="shared" si="3"/>
        <v>45</v>
      </c>
      <c r="S10" s="11">
        <f t="shared" si="3"/>
        <v>60</v>
      </c>
      <c r="T10" s="11">
        <f t="shared" si="3"/>
        <v>49.625</v>
      </c>
      <c r="U10" s="11">
        <f>+U9/7</f>
        <v>56.714285714285715</v>
      </c>
      <c r="V10" s="11">
        <f t="shared" si="3"/>
        <v>58.25</v>
      </c>
      <c r="W10" s="11">
        <f t="shared" si="3"/>
        <v>42.75</v>
      </c>
      <c r="X10" s="11">
        <f t="shared" si="3"/>
        <v>40.5</v>
      </c>
      <c r="Y10" s="11">
        <f t="shared" si="3"/>
        <v>38.25</v>
      </c>
      <c r="Z10" s="11">
        <f>Z9/8</f>
        <v>0</v>
      </c>
      <c r="AA10" s="11">
        <f>AA9/8</f>
        <v>0</v>
      </c>
      <c r="AB10" s="11">
        <f>AB9/8</f>
        <v>0</v>
      </c>
      <c r="AC10" s="11">
        <f>AC9/8</f>
        <v>0</v>
      </c>
      <c r="AD10" s="11">
        <f>AD9/8</f>
        <v>0</v>
      </c>
      <c r="AE10" s="11">
        <f>SUM(AE9:AE9)/8</f>
        <v>0</v>
      </c>
      <c r="AF10" s="11">
        <f>+AF9/8</f>
        <v>0</v>
      </c>
      <c r="AG10" s="11">
        <f t="shared" ref="AG10:AR10" si="4">+AG9/8</f>
        <v>0</v>
      </c>
      <c r="AH10" s="11">
        <f t="shared" si="4"/>
        <v>0</v>
      </c>
      <c r="AI10" s="11">
        <f t="shared" si="4"/>
        <v>0</v>
      </c>
      <c r="AJ10" s="11">
        <f t="shared" si="4"/>
        <v>0</v>
      </c>
      <c r="AK10" s="11">
        <f t="shared" si="4"/>
        <v>0</v>
      </c>
      <c r="AL10" s="11">
        <f t="shared" si="4"/>
        <v>0</v>
      </c>
      <c r="AM10" s="11">
        <f t="shared" si="4"/>
        <v>0</v>
      </c>
      <c r="AN10" s="11">
        <f t="shared" si="4"/>
        <v>0</v>
      </c>
      <c r="AO10" s="11">
        <f t="shared" si="4"/>
        <v>0</v>
      </c>
      <c r="AP10" s="11">
        <f t="shared" si="4"/>
        <v>0</v>
      </c>
      <c r="AQ10" s="11">
        <f t="shared" si="4"/>
        <v>0</v>
      </c>
      <c r="AR10" s="11">
        <f t="shared" si="4"/>
        <v>0</v>
      </c>
      <c r="BG10" s="12"/>
    </row>
    <row r="11" spans="2:65" s="12" customFormat="1" ht="23.25" customHeight="1" x14ac:dyDescent="0.25">
      <c r="B11" s="306" t="s">
        <v>11</v>
      </c>
      <c r="C11" s="307"/>
      <c r="D11" s="307"/>
      <c r="E11" s="308"/>
      <c r="F11" s="5">
        <v>12</v>
      </c>
      <c r="G11" s="5">
        <v>12</v>
      </c>
      <c r="H11" s="5">
        <v>12</v>
      </c>
      <c r="I11" s="5">
        <v>12</v>
      </c>
      <c r="J11" s="5">
        <v>12</v>
      </c>
      <c r="K11" s="5">
        <v>24</v>
      </c>
      <c r="L11" s="5">
        <v>24</v>
      </c>
      <c r="M11" s="5">
        <v>24</v>
      </c>
      <c r="N11" s="5">
        <v>24</v>
      </c>
      <c r="O11" s="5">
        <v>24</v>
      </c>
      <c r="P11" s="5">
        <v>36</v>
      </c>
      <c r="Q11" s="5">
        <v>36</v>
      </c>
      <c r="R11" s="5">
        <v>36</v>
      </c>
      <c r="S11" s="5">
        <v>36</v>
      </c>
      <c r="T11" s="5">
        <v>36</v>
      </c>
      <c r="U11" s="5">
        <v>48</v>
      </c>
      <c r="V11" s="5">
        <v>48</v>
      </c>
      <c r="W11" s="5">
        <v>48</v>
      </c>
      <c r="X11" s="5">
        <v>48</v>
      </c>
      <c r="Y11" s="5">
        <v>48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/>
      <c r="AT11"/>
      <c r="AU11"/>
      <c r="AV11"/>
      <c r="AW11"/>
      <c r="AX11"/>
      <c r="AY11"/>
      <c r="AZ11"/>
      <c r="BA11"/>
      <c r="BB11"/>
      <c r="BF11"/>
      <c r="BG11"/>
      <c r="BH11"/>
      <c r="BI11"/>
      <c r="BJ11"/>
      <c r="BK11"/>
      <c r="BL11"/>
      <c r="BM11"/>
    </row>
    <row r="12" spans="2:65" ht="23.25" customHeight="1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2:65" s="12" customFormat="1" ht="23.25" customHeight="1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BF13"/>
      <c r="BG13"/>
      <c r="BH13"/>
      <c r="BI13"/>
      <c r="BJ13"/>
      <c r="BK13"/>
      <c r="BL13"/>
      <c r="BM13"/>
    </row>
    <row r="14" spans="2:65" ht="23.25" customHeigh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2:65" ht="16.5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2:65" ht="16.5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2:37" ht="16.5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2:37" ht="16.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2:37" ht="16.5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2:37" ht="16.5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2:37" ht="16.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2:37" ht="16.5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AI22" s="26"/>
      <c r="AJ22" s="26"/>
      <c r="AK22" s="26"/>
    </row>
    <row r="28" spans="2:37" ht="16.5" hidden="1" customHeight="1" x14ac:dyDescent="0.25"/>
    <row r="29" spans="2:37" ht="16.5" hidden="1" customHeight="1" x14ac:dyDescent="0.25"/>
    <row r="30" spans="2:37" ht="16.5" hidden="1" customHeight="1" x14ac:dyDescent="0.25"/>
    <row r="31" spans="2:37" ht="16.5" hidden="1" customHeight="1" x14ac:dyDescent="0.25"/>
    <row r="32" spans="2:37" ht="16.5" hidden="1" customHeight="1" x14ac:dyDescent="0.25"/>
    <row r="33" ht="16.5" hidden="1" customHeight="1" x14ac:dyDescent="0.25"/>
    <row r="34" ht="16.5" hidden="1" customHeight="1" x14ac:dyDescent="0.25"/>
    <row r="35" ht="16.5" hidden="1" customHeight="1" x14ac:dyDescent="0.25"/>
    <row r="36" ht="16.5" hidden="1" customHeight="1" x14ac:dyDescent="0.25"/>
    <row r="37" ht="16.5" hidden="1" customHeight="1" x14ac:dyDescent="0.25"/>
    <row r="38" ht="16.5" hidden="1" customHeight="1" x14ac:dyDescent="0.25"/>
    <row r="39" ht="16.5" hidden="1" customHeight="1" x14ac:dyDescent="0.25"/>
    <row r="40" ht="16.5" hidden="1" customHeight="1" x14ac:dyDescent="0.25"/>
    <row r="43" ht="15" hidden="1" customHeight="1" x14ac:dyDescent="0.25"/>
    <row r="44" ht="15" hidden="1" customHeight="1" x14ac:dyDescent="0.25"/>
    <row r="45" ht="15" hidden="1" customHeight="1" x14ac:dyDescent="0.25"/>
    <row r="46" ht="15" hidden="1" customHeight="1" x14ac:dyDescent="0.25"/>
    <row r="47" ht="15" hidden="1" customHeight="1" x14ac:dyDescent="0.25"/>
    <row r="48" ht="15" hidden="1" customHeight="1" x14ac:dyDescent="0.25"/>
    <row r="49" ht="15" hidden="1" customHeight="1" x14ac:dyDescent="0.25"/>
    <row r="50" ht="15" hidden="1" customHeight="1" x14ac:dyDescent="0.25"/>
    <row r="51" ht="15" hidden="1" customHeight="1" x14ac:dyDescent="0.25"/>
    <row r="52" ht="15" hidden="1" customHeight="1" x14ac:dyDescent="0.25"/>
    <row r="53" ht="15" hidden="1" customHeight="1" x14ac:dyDescent="0.25"/>
    <row r="54" ht="15" hidden="1" customHeight="1" x14ac:dyDescent="0.25"/>
    <row r="55" ht="15" hidden="1" customHeight="1" x14ac:dyDescent="0.25"/>
    <row r="56" ht="15" hidden="1" customHeight="1" x14ac:dyDescent="0.25"/>
    <row r="57" ht="15" hidden="1" customHeight="1" x14ac:dyDescent="0.25"/>
    <row r="58" ht="15" hidden="1" customHeight="1" x14ac:dyDescent="0.25"/>
  </sheetData>
  <mergeCells count="10">
    <mergeCell ref="B1:X2"/>
    <mergeCell ref="B11:E11"/>
    <mergeCell ref="D9:D10"/>
    <mergeCell ref="C9:C10"/>
    <mergeCell ref="B9:B10"/>
    <mergeCell ref="B6:B8"/>
    <mergeCell ref="C6:D7"/>
    <mergeCell ref="E6:E8"/>
    <mergeCell ref="B4:E4"/>
    <mergeCell ref="F6:Y6"/>
  </mergeCells>
  <conditionalFormatting sqref="F9 L9:P9 AO9:AR9 R9:X9">
    <cfRule type="containsBlanks" dxfId="180" priority="46">
      <formula>LEN(TRIM(F9))=0</formula>
    </cfRule>
  </conditionalFormatting>
  <conditionalFormatting sqref="Q9 AN9">
    <cfRule type="containsBlanks" dxfId="179" priority="43">
      <formula>LEN(TRIM(Q9))=0</formula>
    </cfRule>
  </conditionalFormatting>
  <conditionalFormatting sqref="K9">
    <cfRule type="containsBlanks" dxfId="178" priority="40">
      <formula>LEN(TRIM(K9))=0</formula>
    </cfRule>
  </conditionalFormatting>
  <conditionalFormatting sqref="G9">
    <cfRule type="containsBlanks" dxfId="177" priority="36">
      <formula>LEN(TRIM(G9))=0</formula>
    </cfRule>
  </conditionalFormatting>
  <conditionalFormatting sqref="J9">
    <cfRule type="containsBlanks" dxfId="176" priority="34">
      <formula>LEN(TRIM(J9))=0</formula>
    </cfRule>
  </conditionalFormatting>
  <conditionalFormatting sqref="I9">
    <cfRule type="containsBlanks" dxfId="175" priority="30">
      <formula>LEN(TRIM(I9))=0</formula>
    </cfRule>
  </conditionalFormatting>
  <conditionalFormatting sqref="H9">
    <cfRule type="containsBlanks" dxfId="174" priority="27">
      <formula>LEN(TRIM(H9))=0</formula>
    </cfRule>
  </conditionalFormatting>
  <conditionalFormatting sqref="AR9 AE9:AI9">
    <cfRule type="containsBlanks" dxfId="173" priority="24">
      <formula>LEN(TRIM(AE9))=0</formula>
    </cfRule>
  </conditionalFormatting>
  <conditionalFormatting sqref="AK9:AQ9">
    <cfRule type="containsBlanks" dxfId="172" priority="22">
      <formula>LEN(TRIM(AK9))=0</formula>
    </cfRule>
  </conditionalFormatting>
  <conditionalFormatting sqref="AJ9">
    <cfRule type="containsBlanks" dxfId="171" priority="21">
      <formula>LEN(TRIM(AJ9))=0</formula>
    </cfRule>
  </conditionalFormatting>
  <conditionalFormatting sqref="AD9">
    <cfRule type="containsBlanks" dxfId="170" priority="18">
      <formula>LEN(TRIM(AD9))=0</formula>
    </cfRule>
  </conditionalFormatting>
  <conditionalFormatting sqref="Z9">
    <cfRule type="containsBlanks" dxfId="169" priority="14">
      <formula>LEN(TRIM(Z9))=0</formula>
    </cfRule>
  </conditionalFormatting>
  <conditionalFormatting sqref="AC9">
    <cfRule type="containsBlanks" dxfId="168" priority="12">
      <formula>LEN(TRIM(AC9))=0</formula>
    </cfRule>
  </conditionalFormatting>
  <conditionalFormatting sqref="AB9">
    <cfRule type="containsBlanks" dxfId="167" priority="8">
      <formula>LEN(TRIM(AB9))=0</formula>
    </cfRule>
  </conditionalFormatting>
  <conditionalFormatting sqref="AA9">
    <cfRule type="containsBlanks" dxfId="166" priority="5">
      <formula>LEN(TRIM(AA9))=0</formula>
    </cfRule>
  </conditionalFormatting>
  <conditionalFormatting sqref="Y9">
    <cfRule type="containsBlanks" dxfId="165" priority="2">
      <formula>LEN(TRIM(Y9))=0</formula>
    </cfRule>
  </conditionalFormatting>
  <printOptions horizontalCentered="1" verticalCentered="1"/>
  <pageMargins left="0.2" right="0" top="0" bottom="0" header="0" footer="0"/>
  <pageSetup paperSize="9" scale="71" orientation="landscape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M58"/>
  <sheetViews>
    <sheetView showGridLines="0" zoomScaleNormal="100" workbookViewId="0">
      <selection activeCell="AS9" sqref="AS9:AU9"/>
    </sheetView>
  </sheetViews>
  <sheetFormatPr defaultRowHeight="15" x14ac:dyDescent="0.25"/>
  <cols>
    <col min="1" max="1" width="4" customWidth="1"/>
    <col min="2" max="2" width="26" customWidth="1"/>
    <col min="3" max="4" width="7.5703125" hidden="1" customWidth="1"/>
    <col min="5" max="5" width="27.28515625" customWidth="1"/>
    <col min="6" max="6" width="6.7109375" customWidth="1"/>
    <col min="7" max="7" width="7.7109375" customWidth="1"/>
    <col min="8" max="25" width="6.7109375" customWidth="1"/>
    <col min="26" max="44" width="9.140625" hidden="1" customWidth="1"/>
  </cols>
  <sheetData>
    <row r="1" spans="2:65" ht="16.5" customHeight="1" x14ac:dyDescent="0.3"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1"/>
    </row>
    <row r="2" spans="2:65" ht="40.5" customHeight="1" x14ac:dyDescent="0.3"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1"/>
    </row>
    <row r="3" spans="2:65" ht="21" customHeight="1" x14ac:dyDescent="0.3">
      <c r="B3" s="32"/>
      <c r="C3" s="32"/>
      <c r="D3" s="32"/>
      <c r="E3" s="32"/>
      <c r="F3" s="32"/>
      <c r="G3" s="32"/>
      <c r="H3" s="3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2:65" s="2" customFormat="1" ht="18" x14ac:dyDescent="0.25">
      <c r="B4" s="309" t="s">
        <v>24</v>
      </c>
      <c r="C4" s="309"/>
      <c r="D4" s="309"/>
      <c r="E4" s="309"/>
      <c r="F4" s="27" t="s">
        <v>26</v>
      </c>
      <c r="G4" s="27"/>
      <c r="J4" s="27"/>
      <c r="K4" s="27"/>
      <c r="L4" s="27"/>
      <c r="M4" s="27"/>
      <c r="N4" s="28"/>
      <c r="S4" s="28"/>
      <c r="T4" s="28"/>
      <c r="X4" s="28" t="s">
        <v>25</v>
      </c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</row>
    <row r="5" spans="2:65" ht="3" customHeigh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2:65" s="2" customFormat="1" ht="23.25" customHeight="1" x14ac:dyDescent="0.25">
      <c r="B6" s="310" t="s">
        <v>0</v>
      </c>
      <c r="C6" s="313" t="s">
        <v>1</v>
      </c>
      <c r="D6" s="314"/>
      <c r="E6" s="310" t="s">
        <v>2</v>
      </c>
      <c r="F6" s="317" t="s">
        <v>16</v>
      </c>
      <c r="G6" s="318"/>
      <c r="H6" s="318"/>
      <c r="I6" s="318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1"/>
      <c r="BF6" s="12"/>
      <c r="BG6" s="12"/>
      <c r="BH6" s="12"/>
      <c r="BI6" s="12"/>
      <c r="BJ6" s="12"/>
      <c r="BK6" s="12"/>
      <c r="BL6" s="12"/>
    </row>
    <row r="7" spans="2:65" s="2" customFormat="1" ht="23.25" customHeight="1" x14ac:dyDescent="0.25">
      <c r="B7" s="311"/>
      <c r="C7" s="315"/>
      <c r="D7" s="316"/>
      <c r="E7" s="311"/>
      <c r="F7" s="3">
        <v>1</v>
      </c>
      <c r="G7" s="3">
        <f>1+F7</f>
        <v>2</v>
      </c>
      <c r="H7" s="3">
        <f>1+G7</f>
        <v>3</v>
      </c>
      <c r="I7" s="3">
        <f t="shared" ref="I7:Y7" si="0">1+H7</f>
        <v>4</v>
      </c>
      <c r="J7" s="3">
        <f t="shared" si="0"/>
        <v>5</v>
      </c>
      <c r="K7" s="3">
        <f t="shared" si="0"/>
        <v>6</v>
      </c>
      <c r="L7" s="3">
        <f t="shared" si="0"/>
        <v>7</v>
      </c>
      <c r="M7" s="3">
        <f t="shared" si="0"/>
        <v>8</v>
      </c>
      <c r="N7" s="3">
        <f t="shared" si="0"/>
        <v>9</v>
      </c>
      <c r="O7" s="3">
        <f t="shared" si="0"/>
        <v>10</v>
      </c>
      <c r="P7" s="3">
        <f t="shared" si="0"/>
        <v>11</v>
      </c>
      <c r="Q7" s="3">
        <f t="shared" si="0"/>
        <v>12</v>
      </c>
      <c r="R7" s="3">
        <f t="shared" si="0"/>
        <v>13</v>
      </c>
      <c r="S7" s="3">
        <f t="shared" si="0"/>
        <v>14</v>
      </c>
      <c r="T7" s="3">
        <f t="shared" si="0"/>
        <v>15</v>
      </c>
      <c r="U7" s="3">
        <f t="shared" si="0"/>
        <v>16</v>
      </c>
      <c r="V7" s="3">
        <f>1+U7</f>
        <v>17</v>
      </c>
      <c r="W7" s="3">
        <f t="shared" si="0"/>
        <v>18</v>
      </c>
      <c r="X7" s="3">
        <f t="shared" si="0"/>
        <v>19</v>
      </c>
      <c r="Y7" s="3">
        <f t="shared" si="0"/>
        <v>20</v>
      </c>
      <c r="Z7" s="3">
        <f>1+Y7</f>
        <v>21</v>
      </c>
      <c r="AA7" s="3">
        <f>1+Z7</f>
        <v>22</v>
      </c>
      <c r="AB7" s="3">
        <f t="shared" ref="AB7:AQ7" si="1">1+AA7</f>
        <v>23</v>
      </c>
      <c r="AC7" s="3">
        <f t="shared" si="1"/>
        <v>24</v>
      </c>
      <c r="AD7" s="3">
        <f t="shared" si="1"/>
        <v>25</v>
      </c>
      <c r="AE7" s="3">
        <f t="shared" si="1"/>
        <v>26</v>
      </c>
      <c r="AF7" s="3">
        <f t="shared" si="1"/>
        <v>27</v>
      </c>
      <c r="AG7" s="3">
        <f t="shared" si="1"/>
        <v>28</v>
      </c>
      <c r="AH7" s="3">
        <f t="shared" si="1"/>
        <v>29</v>
      </c>
      <c r="AI7" s="3">
        <f t="shared" si="1"/>
        <v>30</v>
      </c>
      <c r="AJ7" s="3">
        <f t="shared" si="1"/>
        <v>31</v>
      </c>
      <c r="AK7" s="3">
        <f t="shared" si="1"/>
        <v>32</v>
      </c>
      <c r="AL7" s="3">
        <f t="shared" si="1"/>
        <v>33</v>
      </c>
      <c r="AM7" s="3">
        <f t="shared" si="1"/>
        <v>34</v>
      </c>
      <c r="AN7" s="3">
        <f t="shared" si="1"/>
        <v>35</v>
      </c>
      <c r="AO7" s="3">
        <f t="shared" si="1"/>
        <v>36</v>
      </c>
      <c r="AP7" s="3">
        <f t="shared" si="1"/>
        <v>37</v>
      </c>
      <c r="AQ7" s="3">
        <f t="shared" si="1"/>
        <v>38</v>
      </c>
      <c r="AR7" s="3"/>
      <c r="BF7"/>
      <c r="BG7"/>
      <c r="BH7"/>
      <c r="BI7"/>
      <c r="BJ7"/>
      <c r="BK7"/>
      <c r="BL7"/>
    </row>
    <row r="8" spans="2:65" s="2" customFormat="1" ht="23.25" customHeight="1" x14ac:dyDescent="0.25">
      <c r="B8" s="312"/>
      <c r="C8" s="15" t="s">
        <v>4</v>
      </c>
      <c r="D8" s="15" t="s">
        <v>5</v>
      </c>
      <c r="E8" s="312"/>
      <c r="F8" s="4">
        <v>46063</v>
      </c>
      <c r="G8" s="4">
        <v>46064</v>
      </c>
      <c r="H8" s="4">
        <v>46065</v>
      </c>
      <c r="I8" s="4">
        <v>46066</v>
      </c>
      <c r="J8" s="4">
        <v>46069</v>
      </c>
      <c r="K8" s="4">
        <v>46070</v>
      </c>
      <c r="L8" s="4">
        <v>46071</v>
      </c>
      <c r="M8" s="4">
        <v>46072</v>
      </c>
      <c r="N8" s="4">
        <v>46073</v>
      </c>
      <c r="O8" s="4">
        <v>46074</v>
      </c>
      <c r="P8" s="4">
        <v>46076</v>
      </c>
      <c r="Q8" s="4">
        <v>46077</v>
      </c>
      <c r="R8" s="4">
        <v>46078</v>
      </c>
      <c r="S8" s="4">
        <v>46079</v>
      </c>
      <c r="T8" s="4">
        <v>46080</v>
      </c>
      <c r="U8" s="4">
        <v>46081</v>
      </c>
      <c r="V8" s="4">
        <v>46083</v>
      </c>
      <c r="W8" s="4">
        <v>46084</v>
      </c>
      <c r="X8" s="4">
        <v>46085</v>
      </c>
      <c r="Y8" s="4">
        <v>46086</v>
      </c>
      <c r="Z8" s="4">
        <v>46087</v>
      </c>
      <c r="AA8" s="4">
        <v>46088</v>
      </c>
      <c r="AB8" s="4">
        <v>46089</v>
      </c>
      <c r="AC8" s="4">
        <v>46090</v>
      </c>
      <c r="AD8" s="4">
        <v>46091</v>
      </c>
      <c r="AE8" s="4">
        <v>46092</v>
      </c>
      <c r="AF8" s="4">
        <v>46093</v>
      </c>
      <c r="AG8" s="4">
        <v>46094</v>
      </c>
      <c r="AH8" s="4">
        <v>46095</v>
      </c>
      <c r="AI8" s="4">
        <v>46096</v>
      </c>
      <c r="AJ8" s="4">
        <v>46097</v>
      </c>
      <c r="AK8" s="4">
        <v>46098</v>
      </c>
      <c r="AL8" s="4">
        <v>46099</v>
      </c>
      <c r="AM8" s="4">
        <v>46100</v>
      </c>
      <c r="AN8" s="4">
        <v>46101</v>
      </c>
      <c r="AO8" s="4">
        <v>46102</v>
      </c>
      <c r="AP8" s="4">
        <v>46103</v>
      </c>
      <c r="AQ8" s="4">
        <v>46104</v>
      </c>
      <c r="AR8" s="4"/>
      <c r="BF8" s="12"/>
      <c r="BG8" s="12"/>
      <c r="BH8"/>
      <c r="BI8"/>
      <c r="BJ8"/>
      <c r="BK8"/>
      <c r="BL8"/>
      <c r="BM8"/>
    </row>
    <row r="9" spans="2:65" ht="23.25" customHeight="1" x14ac:dyDescent="0.25">
      <c r="B9" s="304" t="s">
        <v>14</v>
      </c>
      <c r="C9" s="304"/>
      <c r="D9" s="304"/>
      <c r="E9" s="14" t="s">
        <v>10</v>
      </c>
      <c r="F9" s="8">
        <v>192</v>
      </c>
      <c r="G9" s="8">
        <v>420</v>
      </c>
      <c r="H9" s="9">
        <v>426</v>
      </c>
      <c r="I9" s="9">
        <v>274</v>
      </c>
      <c r="J9" s="9">
        <v>436</v>
      </c>
      <c r="K9" s="9">
        <v>480</v>
      </c>
      <c r="L9" s="31">
        <v>426</v>
      </c>
      <c r="M9" s="10">
        <v>204</v>
      </c>
      <c r="N9" s="10">
        <v>440</v>
      </c>
      <c r="O9" s="10">
        <v>410</v>
      </c>
      <c r="P9" s="10">
        <v>408</v>
      </c>
      <c r="Q9" s="10">
        <v>432</v>
      </c>
      <c r="R9" s="9">
        <v>426</v>
      </c>
      <c r="S9" s="9">
        <v>492</v>
      </c>
      <c r="T9" s="9">
        <v>568</v>
      </c>
      <c r="U9" s="9">
        <v>330</v>
      </c>
      <c r="V9" s="9">
        <v>446</v>
      </c>
      <c r="W9" s="10">
        <v>426</v>
      </c>
      <c r="X9" s="10">
        <v>312</v>
      </c>
      <c r="Y9" s="10">
        <v>432</v>
      </c>
      <c r="Z9" s="8"/>
      <c r="AA9" s="9"/>
      <c r="AB9" s="9"/>
      <c r="AC9" s="9"/>
      <c r="AD9" s="9"/>
      <c r="AE9" s="23"/>
      <c r="AF9" s="10"/>
      <c r="AG9" s="10"/>
      <c r="AH9" s="10"/>
      <c r="AI9" s="10"/>
      <c r="AJ9" s="10"/>
      <c r="AK9" s="9"/>
      <c r="AL9" s="9"/>
      <c r="AM9" s="9"/>
      <c r="AN9" s="9"/>
      <c r="AO9" s="10"/>
      <c r="AP9" s="9"/>
      <c r="AQ9" s="10"/>
      <c r="AR9" s="10"/>
      <c r="AS9" s="89"/>
      <c r="AV9" t="s">
        <v>15</v>
      </c>
    </row>
    <row r="10" spans="2:65" ht="23.25" customHeight="1" x14ac:dyDescent="0.25">
      <c r="B10" s="305"/>
      <c r="C10" s="305"/>
      <c r="D10" s="305"/>
      <c r="E10" s="14" t="s">
        <v>6</v>
      </c>
      <c r="F10" s="11">
        <f t="shared" ref="F10:K10" si="2">F9/8</f>
        <v>24</v>
      </c>
      <c r="G10" s="11">
        <f t="shared" si="2"/>
        <v>52.5</v>
      </c>
      <c r="H10" s="11">
        <f t="shared" si="2"/>
        <v>53.25</v>
      </c>
      <c r="I10" s="11">
        <f t="shared" si="2"/>
        <v>34.25</v>
      </c>
      <c r="J10" s="11">
        <f t="shared" si="2"/>
        <v>54.5</v>
      </c>
      <c r="K10" s="11">
        <f t="shared" si="2"/>
        <v>60</v>
      </c>
      <c r="L10" s="11">
        <f>SUM(L9:L9)/8</f>
        <v>53.25</v>
      </c>
      <c r="M10" s="11">
        <f>+M9/8</f>
        <v>25.5</v>
      </c>
      <c r="N10" s="11">
        <f t="shared" ref="N10:Y10" si="3">+N9/8</f>
        <v>55</v>
      </c>
      <c r="O10" s="11">
        <f t="shared" si="3"/>
        <v>51.25</v>
      </c>
      <c r="P10" s="11">
        <f t="shared" si="3"/>
        <v>51</v>
      </c>
      <c r="Q10" s="11">
        <f t="shared" si="3"/>
        <v>54</v>
      </c>
      <c r="R10" s="11">
        <f t="shared" si="3"/>
        <v>53.25</v>
      </c>
      <c r="S10" s="11">
        <f t="shared" si="3"/>
        <v>61.5</v>
      </c>
      <c r="T10" s="11">
        <f t="shared" si="3"/>
        <v>71</v>
      </c>
      <c r="U10" s="11">
        <f>+U9/7</f>
        <v>47.142857142857146</v>
      </c>
      <c r="V10" s="11">
        <f>+V9/8</f>
        <v>55.75</v>
      </c>
      <c r="W10" s="11">
        <f t="shared" si="3"/>
        <v>53.25</v>
      </c>
      <c r="X10" s="11">
        <f t="shared" si="3"/>
        <v>39</v>
      </c>
      <c r="Y10" s="11">
        <f t="shared" si="3"/>
        <v>54</v>
      </c>
      <c r="Z10" s="11">
        <f>Z9/8</f>
        <v>0</v>
      </c>
      <c r="AA10" s="11">
        <f>AA9/8</f>
        <v>0</v>
      </c>
      <c r="AB10" s="11">
        <f>AB9/8</f>
        <v>0</v>
      </c>
      <c r="AC10" s="11">
        <f>AC9/8</f>
        <v>0</v>
      </c>
      <c r="AD10" s="11">
        <f>AD9/8</f>
        <v>0</v>
      </c>
      <c r="AE10" s="11">
        <f>SUM(AE9:AE9)/8</f>
        <v>0</v>
      </c>
      <c r="AF10" s="11">
        <f>+AF9/8</f>
        <v>0</v>
      </c>
      <c r="AG10" s="11">
        <f t="shared" ref="AG10:AR10" si="4">+AG9/8</f>
        <v>0</v>
      </c>
      <c r="AH10" s="11">
        <f t="shared" si="4"/>
        <v>0</v>
      </c>
      <c r="AI10" s="11">
        <f t="shared" si="4"/>
        <v>0</v>
      </c>
      <c r="AJ10" s="11">
        <f t="shared" si="4"/>
        <v>0</v>
      </c>
      <c r="AK10" s="11">
        <f t="shared" si="4"/>
        <v>0</v>
      </c>
      <c r="AL10" s="11">
        <f t="shared" si="4"/>
        <v>0</v>
      </c>
      <c r="AM10" s="11">
        <f t="shared" si="4"/>
        <v>0</v>
      </c>
      <c r="AN10" s="11">
        <f t="shared" si="4"/>
        <v>0</v>
      </c>
      <c r="AO10" s="11">
        <f t="shared" si="4"/>
        <v>0</v>
      </c>
      <c r="AP10" s="11">
        <f t="shared" si="4"/>
        <v>0</v>
      </c>
      <c r="AQ10" s="11">
        <f t="shared" si="4"/>
        <v>0</v>
      </c>
      <c r="AR10" s="11">
        <f t="shared" si="4"/>
        <v>0</v>
      </c>
      <c r="BG10" s="12"/>
    </row>
    <row r="11" spans="2:65" s="12" customFormat="1" ht="23.25" customHeight="1" x14ac:dyDescent="0.25">
      <c r="B11" s="306" t="s">
        <v>11</v>
      </c>
      <c r="C11" s="307"/>
      <c r="D11" s="307"/>
      <c r="E11" s="308"/>
      <c r="F11" s="5">
        <v>12</v>
      </c>
      <c r="G11" s="5">
        <v>12</v>
      </c>
      <c r="H11" s="5">
        <v>12</v>
      </c>
      <c r="I11" s="5">
        <v>12</v>
      </c>
      <c r="J11" s="5">
        <v>12</v>
      </c>
      <c r="K11" s="5">
        <v>24</v>
      </c>
      <c r="L11" s="5">
        <v>24</v>
      </c>
      <c r="M11" s="5">
        <v>24</v>
      </c>
      <c r="N11" s="5">
        <v>24</v>
      </c>
      <c r="O11" s="5">
        <v>24</v>
      </c>
      <c r="P11" s="5">
        <v>36</v>
      </c>
      <c r="Q11" s="5">
        <v>36</v>
      </c>
      <c r="R11" s="5">
        <v>36</v>
      </c>
      <c r="S11" s="5">
        <v>36</v>
      </c>
      <c r="T11" s="5">
        <v>36</v>
      </c>
      <c r="U11" s="5">
        <v>48</v>
      </c>
      <c r="V11" s="5">
        <v>48</v>
      </c>
      <c r="W11" s="5">
        <v>48</v>
      </c>
      <c r="X11" s="5">
        <v>48</v>
      </c>
      <c r="Y11" s="5">
        <v>48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/>
      <c r="AT11"/>
      <c r="AU11"/>
      <c r="AV11"/>
      <c r="AW11"/>
      <c r="AX11"/>
      <c r="AY11"/>
      <c r="AZ11"/>
      <c r="BA11"/>
      <c r="BB11"/>
      <c r="BF11"/>
      <c r="BG11"/>
      <c r="BH11"/>
      <c r="BI11"/>
      <c r="BJ11"/>
      <c r="BK11"/>
      <c r="BL11"/>
      <c r="BM11"/>
    </row>
    <row r="12" spans="2:65" ht="23.25" customHeight="1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2:65" s="12" customFormat="1" ht="23.25" customHeight="1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BF13"/>
      <c r="BG13"/>
      <c r="BH13"/>
      <c r="BI13"/>
      <c r="BJ13"/>
      <c r="BK13"/>
      <c r="BL13"/>
      <c r="BM13"/>
    </row>
    <row r="14" spans="2:65" ht="23.25" customHeigh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2:65" ht="16.5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2:65" ht="16.5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2:37" ht="16.5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2:37" ht="16.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2:37" ht="16.5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2:37" ht="16.5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2:37" ht="16.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2:37" ht="16.5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AI22" s="26"/>
      <c r="AJ22" s="26"/>
      <c r="AK22" s="26"/>
    </row>
    <row r="28" spans="2:37" ht="16.5" hidden="1" customHeight="1" x14ac:dyDescent="0.25"/>
    <row r="29" spans="2:37" ht="16.5" hidden="1" customHeight="1" x14ac:dyDescent="0.25"/>
    <row r="30" spans="2:37" ht="16.5" hidden="1" customHeight="1" x14ac:dyDescent="0.25"/>
    <row r="31" spans="2:37" ht="16.5" hidden="1" customHeight="1" x14ac:dyDescent="0.25"/>
    <row r="32" spans="2:37" ht="16.5" hidden="1" customHeight="1" x14ac:dyDescent="0.25"/>
    <row r="33" ht="16.5" hidden="1" customHeight="1" x14ac:dyDescent="0.25"/>
    <row r="34" ht="16.5" hidden="1" customHeight="1" x14ac:dyDescent="0.25"/>
    <row r="35" ht="16.5" hidden="1" customHeight="1" x14ac:dyDescent="0.25"/>
    <row r="36" ht="16.5" hidden="1" customHeight="1" x14ac:dyDescent="0.25"/>
    <row r="37" ht="16.5" hidden="1" customHeight="1" x14ac:dyDescent="0.25"/>
    <row r="38" ht="16.5" hidden="1" customHeight="1" x14ac:dyDescent="0.25"/>
    <row r="39" ht="16.5" hidden="1" customHeight="1" x14ac:dyDescent="0.25"/>
    <row r="40" ht="16.5" hidden="1" customHeight="1" x14ac:dyDescent="0.25"/>
    <row r="43" ht="15" hidden="1" customHeight="1" x14ac:dyDescent="0.25"/>
    <row r="44" ht="15" hidden="1" customHeight="1" x14ac:dyDescent="0.25"/>
    <row r="45" ht="15" hidden="1" customHeight="1" x14ac:dyDescent="0.25"/>
    <row r="46" ht="15" hidden="1" customHeight="1" x14ac:dyDescent="0.25"/>
    <row r="47" ht="15" hidden="1" customHeight="1" x14ac:dyDescent="0.25"/>
    <row r="48" ht="15" hidden="1" customHeight="1" x14ac:dyDescent="0.25"/>
    <row r="49" ht="15" hidden="1" customHeight="1" x14ac:dyDescent="0.25"/>
    <row r="50" ht="15" hidden="1" customHeight="1" x14ac:dyDescent="0.25"/>
    <row r="51" ht="15" hidden="1" customHeight="1" x14ac:dyDescent="0.25"/>
    <row r="52" ht="15" hidden="1" customHeight="1" x14ac:dyDescent="0.25"/>
    <row r="53" ht="15" hidden="1" customHeight="1" x14ac:dyDescent="0.25"/>
    <row r="54" ht="15" hidden="1" customHeight="1" x14ac:dyDescent="0.25"/>
    <row r="55" ht="15" hidden="1" customHeight="1" x14ac:dyDescent="0.25"/>
    <row r="56" ht="15" hidden="1" customHeight="1" x14ac:dyDescent="0.25"/>
    <row r="57" ht="15" hidden="1" customHeight="1" x14ac:dyDescent="0.25"/>
    <row r="58" ht="15" hidden="1" customHeight="1" x14ac:dyDescent="0.25"/>
  </sheetData>
  <mergeCells count="10">
    <mergeCell ref="B9:B10"/>
    <mergeCell ref="C9:C10"/>
    <mergeCell ref="D9:D10"/>
    <mergeCell ref="B11:E11"/>
    <mergeCell ref="B1:X2"/>
    <mergeCell ref="B4:E4"/>
    <mergeCell ref="B6:B8"/>
    <mergeCell ref="C6:D7"/>
    <mergeCell ref="E6:E8"/>
    <mergeCell ref="F6:Y6"/>
  </mergeCells>
  <conditionalFormatting sqref="F9 L9:P9 AO9:AR9 R9:X9">
    <cfRule type="containsBlanks" dxfId="164" priority="17">
      <formula>LEN(TRIM(F9))=0</formula>
    </cfRule>
  </conditionalFormatting>
  <conditionalFormatting sqref="Q9 AN9">
    <cfRule type="containsBlanks" dxfId="163" priority="15">
      <formula>LEN(TRIM(Q9))=0</formula>
    </cfRule>
  </conditionalFormatting>
  <conditionalFormatting sqref="K9">
    <cfRule type="containsBlanks" dxfId="162" priority="14">
      <formula>LEN(TRIM(K9))=0</formula>
    </cfRule>
  </conditionalFormatting>
  <conditionalFormatting sqref="G9">
    <cfRule type="containsBlanks" dxfId="161" priority="13">
      <formula>LEN(TRIM(G9))=0</formula>
    </cfRule>
  </conditionalFormatting>
  <conditionalFormatting sqref="J9">
    <cfRule type="containsBlanks" dxfId="160" priority="12">
      <formula>LEN(TRIM(J9))=0</formula>
    </cfRule>
  </conditionalFormatting>
  <conditionalFormatting sqref="I9">
    <cfRule type="containsBlanks" dxfId="159" priority="11">
      <formula>LEN(TRIM(I9))=0</formula>
    </cfRule>
  </conditionalFormatting>
  <conditionalFormatting sqref="H9">
    <cfRule type="containsBlanks" dxfId="158" priority="10">
      <formula>LEN(TRIM(H9))=0</formula>
    </cfRule>
  </conditionalFormatting>
  <conditionalFormatting sqref="AR9 AE9:AI9">
    <cfRule type="containsBlanks" dxfId="157" priority="9">
      <formula>LEN(TRIM(AE9))=0</formula>
    </cfRule>
  </conditionalFormatting>
  <conditionalFormatting sqref="AK9:AQ9">
    <cfRule type="containsBlanks" dxfId="156" priority="8">
      <formula>LEN(TRIM(AK9))=0</formula>
    </cfRule>
  </conditionalFormatting>
  <conditionalFormatting sqref="AJ9">
    <cfRule type="containsBlanks" dxfId="155" priority="7">
      <formula>LEN(TRIM(AJ9))=0</formula>
    </cfRule>
  </conditionalFormatting>
  <conditionalFormatting sqref="AD9">
    <cfRule type="containsBlanks" dxfId="154" priority="6">
      <formula>LEN(TRIM(AD9))=0</formula>
    </cfRule>
  </conditionalFormatting>
  <conditionalFormatting sqref="Z9">
    <cfRule type="containsBlanks" dxfId="153" priority="5">
      <formula>LEN(TRIM(Z9))=0</formula>
    </cfRule>
  </conditionalFormatting>
  <conditionalFormatting sqref="AC9">
    <cfRule type="containsBlanks" dxfId="152" priority="4">
      <formula>LEN(TRIM(AC9))=0</formula>
    </cfRule>
  </conditionalFormatting>
  <conditionalFormatting sqref="AB9">
    <cfRule type="containsBlanks" dxfId="151" priority="3">
      <formula>LEN(TRIM(AB9))=0</formula>
    </cfRule>
  </conditionalFormatting>
  <conditionalFormatting sqref="AA9">
    <cfRule type="containsBlanks" dxfId="150" priority="2">
      <formula>LEN(TRIM(AA9))=0</formula>
    </cfRule>
  </conditionalFormatting>
  <conditionalFormatting sqref="Y9">
    <cfRule type="containsBlanks" dxfId="149" priority="1">
      <formula>LEN(TRIM(Y9))=0</formula>
    </cfRule>
  </conditionalFormatting>
  <printOptions horizontalCentered="1" verticalCentered="1"/>
  <pageMargins left="0.2" right="0" top="0" bottom="0" header="0" footer="0"/>
  <pageSetup paperSize="9" scale="97"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G64"/>
  <sheetViews>
    <sheetView showGridLines="0" topLeftCell="T1" zoomScale="85" zoomScaleNormal="85" workbookViewId="0">
      <selection activeCell="AE14" sqref="AE14"/>
    </sheetView>
  </sheetViews>
  <sheetFormatPr defaultRowHeight="15" x14ac:dyDescent="0.25"/>
  <cols>
    <col min="1" max="1" width="4" customWidth="1"/>
    <col min="2" max="2" width="26" customWidth="1"/>
    <col min="3" max="4" width="7.5703125" hidden="1" customWidth="1"/>
    <col min="5" max="5" width="27.28515625" customWidth="1"/>
    <col min="6" max="6" width="6.7109375" hidden="1" customWidth="1"/>
    <col min="7" max="7" width="7.7109375" hidden="1" customWidth="1"/>
    <col min="8" max="17" width="6.7109375" hidden="1" customWidth="1"/>
    <col min="18" max="21" width="6.7109375" customWidth="1"/>
    <col min="22" max="22" width="6.85546875" customWidth="1"/>
    <col min="23" max="26" width="6.7109375" customWidth="1"/>
    <col min="27" max="27" width="6.5703125" customWidth="1"/>
    <col min="28" max="45" width="6.7109375" customWidth="1"/>
    <col min="46" max="63" width="9.140625" hidden="1" customWidth="1"/>
  </cols>
  <sheetData>
    <row r="1" spans="2:85" ht="16.5" customHeight="1" x14ac:dyDescent="0.3"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2:85" ht="40.5" customHeight="1" x14ac:dyDescent="0.3"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2:85" ht="21" customHeight="1" x14ac:dyDescent="0.3">
      <c r="B3" s="119"/>
      <c r="C3" s="119"/>
      <c r="D3" s="119"/>
      <c r="E3" s="119"/>
      <c r="F3" s="119"/>
      <c r="G3" s="119"/>
      <c r="H3" s="11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19"/>
      <c r="AA3" s="119"/>
      <c r="AB3" s="119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2:85" s="2" customFormat="1" ht="18" x14ac:dyDescent="0.25">
      <c r="B4" s="309" t="s">
        <v>18</v>
      </c>
      <c r="C4" s="309"/>
      <c r="D4" s="309"/>
      <c r="E4" s="309"/>
      <c r="F4" s="27" t="s">
        <v>26</v>
      </c>
      <c r="G4" s="27"/>
      <c r="K4" s="27"/>
      <c r="L4" s="27"/>
      <c r="M4" s="27"/>
      <c r="P4" s="28"/>
      <c r="R4" s="28" t="s">
        <v>27</v>
      </c>
      <c r="S4" s="28"/>
      <c r="V4" s="28"/>
      <c r="W4" s="28"/>
      <c r="X4" s="28"/>
      <c r="Y4" s="28"/>
      <c r="AA4" s="27"/>
      <c r="AE4" s="27"/>
      <c r="AF4" s="27"/>
      <c r="AG4" s="27"/>
      <c r="AJ4" s="28"/>
      <c r="AM4" s="28"/>
      <c r="AO4" s="28"/>
      <c r="AP4" s="28"/>
      <c r="AQ4" s="27" t="s">
        <v>26</v>
      </c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</row>
    <row r="5" spans="2:85" ht="3" customHeigh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2:85" s="2" customFormat="1" ht="23.25" customHeight="1" x14ac:dyDescent="0.25">
      <c r="B6" s="310" t="s">
        <v>0</v>
      </c>
      <c r="C6" s="313" t="s">
        <v>1</v>
      </c>
      <c r="D6" s="314"/>
      <c r="E6" s="310" t="s">
        <v>2</v>
      </c>
      <c r="F6" s="317" t="s">
        <v>16</v>
      </c>
      <c r="G6" s="318"/>
      <c r="H6" s="318"/>
      <c r="I6" s="318"/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  <c r="AN6" s="318"/>
      <c r="AO6" s="318"/>
      <c r="AP6" s="318"/>
      <c r="AQ6" s="318"/>
      <c r="AR6" s="318"/>
      <c r="AS6" s="318"/>
      <c r="AT6" s="318"/>
      <c r="AU6" s="318"/>
      <c r="AV6" s="318"/>
      <c r="AW6" s="318"/>
      <c r="AX6" s="318"/>
      <c r="AY6" s="318"/>
      <c r="AZ6" s="318"/>
      <c r="BA6" s="318"/>
      <c r="BB6" s="318"/>
      <c r="BC6" s="318"/>
      <c r="BD6" s="318"/>
      <c r="BE6" s="318"/>
      <c r="BF6" s="318"/>
      <c r="BG6" s="318"/>
      <c r="BH6" s="318"/>
      <c r="BI6" s="318"/>
      <c r="BJ6" s="318"/>
      <c r="BK6" s="318"/>
      <c r="BL6" s="319"/>
      <c r="BZ6" s="12"/>
      <c r="CA6" s="12"/>
      <c r="CB6" s="12"/>
      <c r="CC6" s="12"/>
      <c r="CD6" s="12"/>
      <c r="CE6" s="12"/>
      <c r="CF6" s="12"/>
    </row>
    <row r="7" spans="2:85" s="2" customFormat="1" ht="23.25" customHeight="1" x14ac:dyDescent="0.25">
      <c r="B7" s="311"/>
      <c r="C7" s="315"/>
      <c r="D7" s="316"/>
      <c r="E7" s="311"/>
      <c r="F7" s="3">
        <v>1</v>
      </c>
      <c r="G7" s="3">
        <f>1+F7</f>
        <v>2</v>
      </c>
      <c r="H7" s="3">
        <f>1+G7</f>
        <v>3</v>
      </c>
      <c r="I7" s="3">
        <f t="shared" ref="I7:BK7" si="0">1+H7</f>
        <v>4</v>
      </c>
      <c r="J7" s="3">
        <f t="shared" si="0"/>
        <v>5</v>
      </c>
      <c r="K7" s="3">
        <f t="shared" si="0"/>
        <v>6</v>
      </c>
      <c r="L7" s="3">
        <f t="shared" si="0"/>
        <v>7</v>
      </c>
      <c r="M7" s="3">
        <f t="shared" si="0"/>
        <v>8</v>
      </c>
      <c r="N7" s="3">
        <f t="shared" si="0"/>
        <v>9</v>
      </c>
      <c r="O7" s="3">
        <f t="shared" si="0"/>
        <v>10</v>
      </c>
      <c r="P7" s="3">
        <f t="shared" si="0"/>
        <v>11</v>
      </c>
      <c r="Q7" s="3">
        <f t="shared" si="0"/>
        <v>12</v>
      </c>
      <c r="R7" s="3">
        <f t="shared" si="0"/>
        <v>13</v>
      </c>
      <c r="S7" s="3">
        <f t="shared" si="0"/>
        <v>14</v>
      </c>
      <c r="T7" s="3">
        <f t="shared" si="0"/>
        <v>15</v>
      </c>
      <c r="U7" s="3">
        <f t="shared" si="0"/>
        <v>16</v>
      </c>
      <c r="V7" s="3">
        <f t="shared" si="0"/>
        <v>17</v>
      </c>
      <c r="W7" s="3">
        <f t="shared" si="0"/>
        <v>18</v>
      </c>
      <c r="X7" s="3">
        <f t="shared" si="0"/>
        <v>19</v>
      </c>
      <c r="Y7" s="3">
        <f t="shared" si="0"/>
        <v>20</v>
      </c>
      <c r="Z7" s="3">
        <f t="shared" ref="Z7:AS7" si="1">1+Y7</f>
        <v>21</v>
      </c>
      <c r="AA7" s="3">
        <f t="shared" si="1"/>
        <v>22</v>
      </c>
      <c r="AB7" s="3">
        <f t="shared" si="1"/>
        <v>23</v>
      </c>
      <c r="AC7" s="3">
        <f t="shared" si="1"/>
        <v>24</v>
      </c>
      <c r="AD7" s="3">
        <f t="shared" si="1"/>
        <v>25</v>
      </c>
      <c r="AE7" s="3">
        <f t="shared" si="1"/>
        <v>26</v>
      </c>
      <c r="AF7" s="3">
        <f t="shared" si="1"/>
        <v>27</v>
      </c>
      <c r="AG7" s="3">
        <f t="shared" si="1"/>
        <v>28</v>
      </c>
      <c r="AH7" s="3">
        <f t="shared" si="1"/>
        <v>29</v>
      </c>
      <c r="AI7" s="3">
        <f t="shared" si="1"/>
        <v>30</v>
      </c>
      <c r="AJ7" s="3">
        <f t="shared" si="1"/>
        <v>31</v>
      </c>
      <c r="AK7" s="3">
        <f t="shared" si="1"/>
        <v>32</v>
      </c>
      <c r="AL7" s="3">
        <f t="shared" si="1"/>
        <v>33</v>
      </c>
      <c r="AM7" s="3">
        <f t="shared" si="1"/>
        <v>34</v>
      </c>
      <c r="AN7" s="3">
        <f t="shared" si="1"/>
        <v>35</v>
      </c>
      <c r="AO7" s="3">
        <f t="shared" si="1"/>
        <v>36</v>
      </c>
      <c r="AP7" s="3">
        <f t="shared" si="1"/>
        <v>37</v>
      </c>
      <c r="AQ7" s="3">
        <f t="shared" si="1"/>
        <v>38</v>
      </c>
      <c r="AR7" s="3">
        <f t="shared" si="1"/>
        <v>39</v>
      </c>
      <c r="AS7" s="3">
        <f t="shared" si="1"/>
        <v>40</v>
      </c>
      <c r="AT7" s="3">
        <f>1+Y7</f>
        <v>21</v>
      </c>
      <c r="AU7" s="3">
        <f t="shared" si="0"/>
        <v>22</v>
      </c>
      <c r="AV7" s="3">
        <f t="shared" si="0"/>
        <v>23</v>
      </c>
      <c r="AW7" s="3">
        <f t="shared" si="0"/>
        <v>24</v>
      </c>
      <c r="AX7" s="3">
        <f t="shared" si="0"/>
        <v>25</v>
      </c>
      <c r="AY7" s="3">
        <f t="shared" si="0"/>
        <v>26</v>
      </c>
      <c r="AZ7" s="3">
        <f t="shared" si="0"/>
        <v>27</v>
      </c>
      <c r="BA7" s="3">
        <f t="shared" si="0"/>
        <v>28</v>
      </c>
      <c r="BB7" s="3">
        <f t="shared" si="0"/>
        <v>29</v>
      </c>
      <c r="BC7" s="3">
        <f t="shared" si="0"/>
        <v>30</v>
      </c>
      <c r="BD7" s="3">
        <f t="shared" si="0"/>
        <v>31</v>
      </c>
      <c r="BE7" s="3">
        <f t="shared" si="0"/>
        <v>32</v>
      </c>
      <c r="BF7" s="3">
        <f t="shared" si="0"/>
        <v>33</v>
      </c>
      <c r="BG7" s="3">
        <f t="shared" si="0"/>
        <v>34</v>
      </c>
      <c r="BH7" s="3">
        <f t="shared" si="0"/>
        <v>35</v>
      </c>
      <c r="BI7" s="3">
        <f t="shared" si="0"/>
        <v>36</v>
      </c>
      <c r="BJ7" s="3">
        <f t="shared" si="0"/>
        <v>37</v>
      </c>
      <c r="BK7" s="3">
        <f t="shared" si="0"/>
        <v>38</v>
      </c>
      <c r="BL7" s="3"/>
      <c r="BZ7"/>
      <c r="CA7"/>
      <c r="CB7"/>
      <c r="CC7"/>
      <c r="CD7"/>
      <c r="CE7"/>
      <c r="CF7"/>
    </row>
    <row r="8" spans="2:85" s="2" customFormat="1" ht="23.25" customHeight="1" x14ac:dyDescent="0.25">
      <c r="B8" s="312"/>
      <c r="C8" s="15" t="s">
        <v>4</v>
      </c>
      <c r="D8" s="15" t="s">
        <v>5</v>
      </c>
      <c r="E8" s="312"/>
      <c r="F8" s="4">
        <v>46084</v>
      </c>
      <c r="G8" s="4">
        <v>46085</v>
      </c>
      <c r="H8" s="4">
        <v>46086</v>
      </c>
      <c r="I8" s="4">
        <v>46087</v>
      </c>
      <c r="J8" s="4">
        <v>46090</v>
      </c>
      <c r="K8" s="4">
        <v>46091</v>
      </c>
      <c r="L8" s="4">
        <v>46092</v>
      </c>
      <c r="M8" s="4">
        <v>46093</v>
      </c>
      <c r="N8" s="4">
        <v>46094</v>
      </c>
      <c r="O8" s="4">
        <v>46097</v>
      </c>
      <c r="P8" s="4">
        <v>46098</v>
      </c>
      <c r="Q8" s="4">
        <v>46099</v>
      </c>
      <c r="R8" s="4">
        <v>46118</v>
      </c>
      <c r="S8" s="4">
        <v>46119</v>
      </c>
      <c r="T8" s="4">
        <v>46120</v>
      </c>
      <c r="U8" s="4">
        <v>46121</v>
      </c>
      <c r="V8" s="4">
        <v>46122</v>
      </c>
      <c r="W8" s="4">
        <v>46123</v>
      </c>
      <c r="X8" s="4">
        <v>46125</v>
      </c>
      <c r="Y8" s="4">
        <v>46126</v>
      </c>
      <c r="Z8" s="4">
        <v>46127</v>
      </c>
      <c r="AA8" s="4">
        <v>46128</v>
      </c>
      <c r="AB8" s="4">
        <v>46129</v>
      </c>
      <c r="AC8" s="4">
        <v>46130</v>
      </c>
      <c r="AD8" s="4">
        <v>46132</v>
      </c>
      <c r="AE8" s="4">
        <v>46133</v>
      </c>
      <c r="AF8" s="4">
        <v>46134</v>
      </c>
      <c r="AG8" s="4">
        <v>46135</v>
      </c>
      <c r="AH8" s="4">
        <v>46136</v>
      </c>
      <c r="AI8" s="4">
        <v>46137</v>
      </c>
      <c r="AJ8" s="4">
        <v>46138</v>
      </c>
      <c r="AK8" s="4">
        <v>46139</v>
      </c>
      <c r="AL8" s="4">
        <v>46140</v>
      </c>
      <c r="AM8" s="4">
        <v>46141</v>
      </c>
      <c r="AN8" s="4">
        <v>46142</v>
      </c>
      <c r="AO8" s="4">
        <v>46143</v>
      </c>
      <c r="AP8" s="4">
        <v>46144</v>
      </c>
      <c r="AQ8" s="4">
        <v>46145</v>
      </c>
      <c r="AR8" s="4">
        <v>46146</v>
      </c>
      <c r="AS8" s="4">
        <v>46147</v>
      </c>
      <c r="AT8" s="4">
        <v>46136</v>
      </c>
      <c r="AU8" s="4">
        <v>46137</v>
      </c>
      <c r="AV8" s="4">
        <v>46138</v>
      </c>
      <c r="AW8" s="4">
        <v>46139</v>
      </c>
      <c r="AX8" s="4">
        <v>46140</v>
      </c>
      <c r="AY8" s="4">
        <v>46141</v>
      </c>
      <c r="AZ8" s="4">
        <v>46142</v>
      </c>
      <c r="BA8" s="4">
        <v>46143</v>
      </c>
      <c r="BB8" s="4">
        <v>46144</v>
      </c>
      <c r="BC8" s="4">
        <v>46145</v>
      </c>
      <c r="BD8" s="4">
        <v>46146</v>
      </c>
      <c r="BE8" s="4">
        <v>46147</v>
      </c>
      <c r="BF8" s="4">
        <v>46148</v>
      </c>
      <c r="BG8" s="4">
        <v>46149</v>
      </c>
      <c r="BH8" s="4">
        <v>46150</v>
      </c>
      <c r="BI8" s="4">
        <v>46151</v>
      </c>
      <c r="BJ8" s="4">
        <v>46152</v>
      </c>
      <c r="BK8" s="4">
        <v>46153</v>
      </c>
      <c r="BL8" s="4"/>
      <c r="BZ8" s="12"/>
      <c r="CA8" s="12"/>
      <c r="CB8"/>
      <c r="CC8"/>
      <c r="CD8"/>
      <c r="CE8"/>
      <c r="CF8"/>
      <c r="CG8"/>
    </row>
    <row r="9" spans="2:85" ht="23.25" customHeight="1" x14ac:dyDescent="0.25">
      <c r="B9" s="304" t="s">
        <v>37</v>
      </c>
      <c r="C9" s="304"/>
      <c r="D9" s="304"/>
      <c r="E9" s="14" t="s">
        <v>10</v>
      </c>
      <c r="F9" s="8"/>
      <c r="G9" s="8"/>
      <c r="H9" s="9"/>
      <c r="I9" s="9"/>
      <c r="J9" s="9"/>
      <c r="K9" s="9"/>
      <c r="L9" s="31"/>
      <c r="M9" s="10"/>
      <c r="N9" s="10"/>
      <c r="O9" s="10"/>
      <c r="P9" s="10"/>
      <c r="Q9" s="10"/>
      <c r="R9" s="10"/>
      <c r="S9" s="9"/>
      <c r="T9" s="9"/>
      <c r="U9" s="10"/>
      <c r="V9" s="112"/>
      <c r="W9" s="10"/>
      <c r="X9" s="10"/>
      <c r="Y9" s="10"/>
      <c r="Z9" s="113"/>
      <c r="AA9" s="8"/>
      <c r="AB9" s="9"/>
      <c r="AC9" s="9"/>
      <c r="AD9" s="9"/>
      <c r="AE9" s="9"/>
      <c r="AF9" s="31"/>
      <c r="AG9" s="10"/>
      <c r="AH9" s="10"/>
      <c r="AI9" s="10"/>
      <c r="AJ9" s="10"/>
      <c r="AK9" s="10"/>
      <c r="AL9" s="10"/>
      <c r="AM9" s="9"/>
      <c r="AN9" s="9"/>
      <c r="AO9" s="10"/>
      <c r="AP9" s="9"/>
      <c r="AQ9" s="10"/>
      <c r="AR9" s="10"/>
      <c r="AS9" s="10"/>
      <c r="AT9" s="8"/>
      <c r="AU9" s="9"/>
      <c r="AV9" s="9"/>
      <c r="AW9" s="9"/>
      <c r="AX9" s="9"/>
      <c r="AY9" s="23"/>
      <c r="AZ9" s="10"/>
      <c r="BA9" s="10"/>
      <c r="BB9" s="10"/>
      <c r="BC9" s="10"/>
      <c r="BD9" s="10"/>
      <c r="BE9" s="9"/>
      <c r="BF9" s="9"/>
      <c r="BG9" s="9"/>
      <c r="BH9" s="9"/>
      <c r="BI9" s="10"/>
      <c r="BJ9" s="9"/>
      <c r="BK9" s="10"/>
      <c r="BL9" s="10"/>
      <c r="BP9" t="s">
        <v>15</v>
      </c>
    </row>
    <row r="10" spans="2:85" ht="23.25" customHeight="1" x14ac:dyDescent="0.25">
      <c r="B10" s="305"/>
      <c r="C10" s="305"/>
      <c r="D10" s="305"/>
      <c r="E10" s="14" t="s">
        <v>6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>
        <f>+R9/10</f>
        <v>0</v>
      </c>
      <c r="S10" s="11">
        <f>+S9/10</f>
        <v>0</v>
      </c>
      <c r="T10" s="11">
        <f t="shared" ref="T10:V10" si="2">+T9/10</f>
        <v>0</v>
      </c>
      <c r="U10" s="11">
        <f t="shared" si="2"/>
        <v>0</v>
      </c>
      <c r="V10" s="11">
        <f t="shared" si="2"/>
        <v>0</v>
      </c>
      <c r="W10" s="11">
        <f>+W9/8</f>
        <v>0</v>
      </c>
      <c r="X10" s="11">
        <f t="shared" ref="X10:BK10" si="3">+X9/8</f>
        <v>0</v>
      </c>
      <c r="Y10" s="11">
        <f t="shared" si="3"/>
        <v>0</v>
      </c>
      <c r="Z10" s="11">
        <f t="shared" si="3"/>
        <v>0</v>
      </c>
      <c r="AA10" s="11">
        <f t="shared" si="3"/>
        <v>0</v>
      </c>
      <c r="AB10" s="11">
        <f t="shared" si="3"/>
        <v>0</v>
      </c>
      <c r="AC10" s="11">
        <f t="shared" si="3"/>
        <v>0</v>
      </c>
      <c r="AD10" s="11">
        <f t="shared" si="3"/>
        <v>0</v>
      </c>
      <c r="AE10" s="11">
        <f t="shared" si="3"/>
        <v>0</v>
      </c>
      <c r="AF10" s="11">
        <f t="shared" si="3"/>
        <v>0</v>
      </c>
      <c r="AG10" s="11">
        <f t="shared" si="3"/>
        <v>0</v>
      </c>
      <c r="AH10" s="11">
        <f t="shared" si="3"/>
        <v>0</v>
      </c>
      <c r="AI10" s="11">
        <f t="shared" si="3"/>
        <v>0</v>
      </c>
      <c r="AJ10" s="11">
        <f t="shared" si="3"/>
        <v>0</v>
      </c>
      <c r="AK10" s="11">
        <f t="shared" si="3"/>
        <v>0</v>
      </c>
      <c r="AL10" s="11">
        <f t="shared" si="3"/>
        <v>0</v>
      </c>
      <c r="AM10" s="11">
        <f t="shared" si="3"/>
        <v>0</v>
      </c>
      <c r="AN10" s="11">
        <f t="shared" si="3"/>
        <v>0</v>
      </c>
      <c r="AO10" s="11">
        <f t="shared" si="3"/>
        <v>0</v>
      </c>
      <c r="AP10" s="11">
        <f t="shared" si="3"/>
        <v>0</v>
      </c>
      <c r="AQ10" s="11">
        <f t="shared" si="3"/>
        <v>0</v>
      </c>
      <c r="AR10" s="11">
        <f t="shared" si="3"/>
        <v>0</v>
      </c>
      <c r="AS10" s="11">
        <f t="shared" si="3"/>
        <v>0</v>
      </c>
      <c r="AT10" s="11">
        <f t="shared" si="3"/>
        <v>0</v>
      </c>
      <c r="AU10" s="11">
        <f t="shared" si="3"/>
        <v>0</v>
      </c>
      <c r="AV10" s="11">
        <f t="shared" si="3"/>
        <v>0</v>
      </c>
      <c r="AW10" s="11">
        <f t="shared" si="3"/>
        <v>0</v>
      </c>
      <c r="AX10" s="11">
        <f t="shared" si="3"/>
        <v>0</v>
      </c>
      <c r="AY10" s="11">
        <f t="shared" si="3"/>
        <v>0</v>
      </c>
      <c r="AZ10" s="11">
        <f t="shared" si="3"/>
        <v>0</v>
      </c>
      <c r="BA10" s="11">
        <f t="shared" si="3"/>
        <v>0</v>
      </c>
      <c r="BB10" s="11">
        <f t="shared" si="3"/>
        <v>0</v>
      </c>
      <c r="BC10" s="11">
        <f t="shared" si="3"/>
        <v>0</v>
      </c>
      <c r="BD10" s="11">
        <f t="shared" si="3"/>
        <v>0</v>
      </c>
      <c r="BE10" s="11">
        <f t="shared" si="3"/>
        <v>0</v>
      </c>
      <c r="BF10" s="11">
        <f t="shared" si="3"/>
        <v>0</v>
      </c>
      <c r="BG10" s="11">
        <f t="shared" si="3"/>
        <v>0</v>
      </c>
      <c r="BH10" s="11">
        <f t="shared" si="3"/>
        <v>0</v>
      </c>
      <c r="BI10" s="11">
        <f t="shared" si="3"/>
        <v>0</v>
      </c>
      <c r="BJ10" s="11">
        <f t="shared" si="3"/>
        <v>0</v>
      </c>
      <c r="BK10" s="11">
        <f t="shared" si="3"/>
        <v>0</v>
      </c>
      <c r="BL10" s="11"/>
      <c r="CA10" s="12"/>
    </row>
    <row r="11" spans="2:85" s="12" customFormat="1" ht="23.25" customHeight="1" x14ac:dyDescent="0.25">
      <c r="B11" s="238" t="s">
        <v>9</v>
      </c>
      <c r="C11" s="262"/>
      <c r="D11" s="262"/>
      <c r="E11" s="14" t="s">
        <v>10</v>
      </c>
      <c r="F11" s="8"/>
      <c r="G11" s="8"/>
      <c r="H11" s="9"/>
      <c r="I11" s="9"/>
      <c r="J11" s="9"/>
      <c r="K11" s="9"/>
      <c r="L11" s="31"/>
      <c r="M11" s="10"/>
      <c r="N11" s="10"/>
      <c r="O11" s="10"/>
      <c r="P11" s="10"/>
      <c r="Q11" s="10"/>
      <c r="R11" s="10">
        <v>102</v>
      </c>
      <c r="S11" s="9">
        <v>0</v>
      </c>
      <c r="T11" s="9">
        <v>192</v>
      </c>
      <c r="U11" s="10">
        <v>246</v>
      </c>
      <c r="V11" s="9">
        <v>162</v>
      </c>
      <c r="W11" s="10">
        <v>102</v>
      </c>
      <c r="X11" s="10">
        <v>232</v>
      </c>
      <c r="Y11" s="10">
        <v>150</v>
      </c>
      <c r="Z11" s="8">
        <v>312</v>
      </c>
      <c r="AA11" s="8">
        <v>216</v>
      </c>
      <c r="AB11" s="9">
        <v>366</v>
      </c>
      <c r="AC11" s="9">
        <v>222</v>
      </c>
      <c r="AD11" s="9">
        <v>166</v>
      </c>
      <c r="AE11" s="9">
        <v>217</v>
      </c>
      <c r="AF11" s="31"/>
      <c r="AG11" s="10"/>
      <c r="AH11" s="10"/>
      <c r="AI11" s="10"/>
      <c r="AJ11" s="10"/>
      <c r="AK11" s="10"/>
      <c r="AL11" s="10"/>
      <c r="AM11" s="9"/>
      <c r="AN11" s="9"/>
      <c r="AO11" s="10"/>
      <c r="AP11" s="9"/>
      <c r="AQ11" s="10"/>
      <c r="AR11" s="10"/>
      <c r="AS11" s="10"/>
      <c r="AT11" s="8"/>
      <c r="AU11" s="8"/>
      <c r="AV11" s="9"/>
      <c r="AW11" s="9"/>
      <c r="AX11" s="9"/>
      <c r="AY11" s="9"/>
      <c r="AZ11" s="31"/>
      <c r="BA11" s="10"/>
      <c r="BB11" s="8"/>
      <c r="BC11" s="8"/>
      <c r="BD11" s="9"/>
      <c r="BE11" s="9"/>
      <c r="BF11" s="9"/>
      <c r="BG11" s="9"/>
      <c r="BH11" s="31"/>
      <c r="BI11" s="10"/>
      <c r="BJ11" s="10"/>
      <c r="BK11" s="10"/>
      <c r="BL11" s="10"/>
    </row>
    <row r="12" spans="2:85" ht="23.25" customHeight="1" x14ac:dyDescent="0.25">
      <c r="B12" s="238"/>
      <c r="C12" s="262"/>
      <c r="D12" s="262"/>
      <c r="E12" s="118" t="s">
        <v>6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>
        <f>+R11/9</f>
        <v>11.333333333333334</v>
      </c>
      <c r="S12" s="50">
        <f t="shared" ref="S12:Z12" si="4">+S11/9</f>
        <v>0</v>
      </c>
      <c r="T12" s="50">
        <f t="shared" si="4"/>
        <v>21.333333333333332</v>
      </c>
      <c r="U12" s="50">
        <f t="shared" si="4"/>
        <v>27.333333333333332</v>
      </c>
      <c r="V12" s="50">
        <f t="shared" si="4"/>
        <v>18</v>
      </c>
      <c r="W12" s="50">
        <f t="shared" si="4"/>
        <v>11.333333333333334</v>
      </c>
      <c r="X12" s="50">
        <f t="shared" si="4"/>
        <v>25.777777777777779</v>
      </c>
      <c r="Y12" s="50">
        <f t="shared" si="4"/>
        <v>16.666666666666668</v>
      </c>
      <c r="Z12" s="50">
        <f t="shared" si="4"/>
        <v>34.666666666666664</v>
      </c>
      <c r="AA12" s="50">
        <f>+AA11/9</f>
        <v>24</v>
      </c>
      <c r="AB12" s="50">
        <f t="shared" ref="AB12:AS12" si="5">+AB11/12</f>
        <v>30.5</v>
      </c>
      <c r="AC12" s="50">
        <f>+AC11/12</f>
        <v>18.5</v>
      </c>
      <c r="AD12" s="50">
        <f t="shared" si="5"/>
        <v>13.833333333333334</v>
      </c>
      <c r="AE12" s="50">
        <f t="shared" si="5"/>
        <v>18.083333333333332</v>
      </c>
      <c r="AF12" s="50">
        <f t="shared" si="5"/>
        <v>0</v>
      </c>
      <c r="AG12" s="50">
        <f t="shared" si="5"/>
        <v>0</v>
      </c>
      <c r="AH12" s="50">
        <f t="shared" si="5"/>
        <v>0</v>
      </c>
      <c r="AI12" s="50">
        <f t="shared" si="5"/>
        <v>0</v>
      </c>
      <c r="AJ12" s="50">
        <f t="shared" si="5"/>
        <v>0</v>
      </c>
      <c r="AK12" s="50">
        <f t="shared" si="5"/>
        <v>0</v>
      </c>
      <c r="AL12" s="50">
        <f t="shared" si="5"/>
        <v>0</v>
      </c>
      <c r="AM12" s="50">
        <f t="shared" si="5"/>
        <v>0</v>
      </c>
      <c r="AN12" s="50">
        <f t="shared" si="5"/>
        <v>0</v>
      </c>
      <c r="AO12" s="50">
        <f t="shared" si="5"/>
        <v>0</v>
      </c>
      <c r="AP12" s="50">
        <f t="shared" si="5"/>
        <v>0</v>
      </c>
      <c r="AQ12" s="50">
        <f t="shared" si="5"/>
        <v>0</v>
      </c>
      <c r="AR12" s="50">
        <f t="shared" si="5"/>
        <v>0</v>
      </c>
      <c r="AS12" s="50">
        <f t="shared" si="5"/>
        <v>0</v>
      </c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</row>
    <row r="13" spans="2:85" ht="23.25" customHeight="1" x14ac:dyDescent="0.25">
      <c r="B13" s="304" t="s">
        <v>8</v>
      </c>
      <c r="C13" s="304"/>
      <c r="D13" s="304"/>
      <c r="E13" s="14" t="s">
        <v>10</v>
      </c>
      <c r="F13" s="8"/>
      <c r="G13" s="8"/>
      <c r="H13" s="9"/>
      <c r="I13" s="9"/>
      <c r="J13" s="9"/>
      <c r="K13" s="9"/>
      <c r="L13" s="31"/>
      <c r="M13" s="10"/>
      <c r="N13" s="10"/>
      <c r="O13" s="10"/>
      <c r="P13" s="10"/>
      <c r="Q13" s="10"/>
      <c r="R13" s="9">
        <v>102</v>
      </c>
      <c r="S13" s="9">
        <v>96</v>
      </c>
      <c r="T13" s="9">
        <v>144</v>
      </c>
      <c r="U13" s="10">
        <v>240</v>
      </c>
      <c r="V13" s="9">
        <v>240</v>
      </c>
      <c r="W13" s="10">
        <v>204</v>
      </c>
      <c r="X13" s="10">
        <v>300</v>
      </c>
      <c r="Y13" s="10">
        <v>240</v>
      </c>
      <c r="Z13" s="8">
        <v>264</v>
      </c>
      <c r="AA13" s="8">
        <v>144</v>
      </c>
      <c r="AB13" s="9">
        <v>300</v>
      </c>
      <c r="AC13" s="9">
        <v>216</v>
      </c>
      <c r="AD13" s="9">
        <v>348</v>
      </c>
      <c r="AE13" s="9">
        <v>324</v>
      </c>
      <c r="AF13" s="31"/>
      <c r="AG13" s="10"/>
      <c r="AH13" s="10"/>
      <c r="AI13" s="10"/>
      <c r="AJ13" s="10"/>
      <c r="AK13" s="10"/>
      <c r="AL13" s="10"/>
      <c r="AM13" s="9"/>
      <c r="AN13" s="9"/>
      <c r="AO13" s="10"/>
      <c r="AP13" s="9"/>
      <c r="AQ13" s="10"/>
      <c r="AR13" s="10"/>
      <c r="AS13" s="10"/>
      <c r="AT13" s="8"/>
      <c r="AU13" s="9"/>
      <c r="AV13" s="9"/>
      <c r="AW13" s="9"/>
      <c r="AX13" s="9"/>
      <c r="AY13" s="23"/>
      <c r="AZ13" s="10"/>
      <c r="BA13" s="10"/>
      <c r="BB13" s="10"/>
      <c r="BC13" s="10"/>
      <c r="BD13" s="10"/>
      <c r="BE13" s="9"/>
      <c r="BF13" s="9"/>
      <c r="BG13" s="9"/>
      <c r="BH13" s="9"/>
      <c r="BI13" s="10"/>
      <c r="BJ13" s="9"/>
      <c r="BK13" s="10"/>
      <c r="BL13" s="10"/>
      <c r="BP13" t="s">
        <v>15</v>
      </c>
    </row>
    <row r="14" spans="2:85" ht="23.25" customHeight="1" x14ac:dyDescent="0.25">
      <c r="B14" s="305"/>
      <c r="C14" s="305"/>
      <c r="D14" s="305"/>
      <c r="E14" s="14" t="s">
        <v>6</v>
      </c>
      <c r="F14" s="11">
        <f t="shared" ref="F14:BL14" si="6">F13/8</f>
        <v>0</v>
      </c>
      <c r="G14" s="11">
        <f t="shared" si="6"/>
        <v>0</v>
      </c>
      <c r="H14" s="11">
        <f t="shared" si="6"/>
        <v>0</v>
      </c>
      <c r="I14" s="11">
        <f t="shared" si="6"/>
        <v>0</v>
      </c>
      <c r="J14" s="11">
        <f t="shared" si="6"/>
        <v>0</v>
      </c>
      <c r="K14" s="11">
        <f t="shared" si="6"/>
        <v>0</v>
      </c>
      <c r="L14" s="11">
        <f>L13/9</f>
        <v>0</v>
      </c>
      <c r="M14" s="11">
        <f t="shared" si="6"/>
        <v>0</v>
      </c>
      <c r="N14" s="11">
        <f t="shared" si="6"/>
        <v>0</v>
      </c>
      <c r="O14" s="11">
        <f t="shared" si="6"/>
        <v>0</v>
      </c>
      <c r="P14" s="11">
        <f t="shared" si="6"/>
        <v>0</v>
      </c>
      <c r="Q14" s="11">
        <f t="shared" si="6"/>
        <v>0</v>
      </c>
      <c r="R14" s="50">
        <f>+R13/9</f>
        <v>11.333333333333334</v>
      </c>
      <c r="S14" s="50">
        <f t="shared" ref="S14:Z14" si="7">+S13/9</f>
        <v>10.666666666666666</v>
      </c>
      <c r="T14" s="50">
        <f t="shared" si="7"/>
        <v>16</v>
      </c>
      <c r="U14" s="50">
        <f t="shared" si="7"/>
        <v>26.666666666666668</v>
      </c>
      <c r="V14" s="50">
        <f t="shared" si="7"/>
        <v>26.666666666666668</v>
      </c>
      <c r="W14" s="50">
        <f t="shared" si="7"/>
        <v>22.666666666666668</v>
      </c>
      <c r="X14" s="50">
        <f t="shared" si="7"/>
        <v>33.333333333333336</v>
      </c>
      <c r="Y14" s="50">
        <f t="shared" si="7"/>
        <v>26.666666666666668</v>
      </c>
      <c r="Z14" s="50">
        <f t="shared" si="7"/>
        <v>29.333333333333332</v>
      </c>
      <c r="AA14" s="11">
        <f>AA13/9</f>
        <v>16</v>
      </c>
      <c r="AB14" s="11">
        <f t="shared" ref="AB14" si="8">AB13/12</f>
        <v>25</v>
      </c>
      <c r="AC14" s="11">
        <f>AC13/12</f>
        <v>18</v>
      </c>
      <c r="AD14" s="11">
        <f t="shared" ref="AD14:AS14" si="9">AD13/12</f>
        <v>29</v>
      </c>
      <c r="AE14" s="11">
        <f t="shared" si="9"/>
        <v>27</v>
      </c>
      <c r="AF14" s="11">
        <f t="shared" si="9"/>
        <v>0</v>
      </c>
      <c r="AG14" s="11">
        <f t="shared" si="9"/>
        <v>0</v>
      </c>
      <c r="AH14" s="11">
        <f t="shared" si="9"/>
        <v>0</v>
      </c>
      <c r="AI14" s="11">
        <f t="shared" si="9"/>
        <v>0</v>
      </c>
      <c r="AJ14" s="11">
        <f t="shared" si="9"/>
        <v>0</v>
      </c>
      <c r="AK14" s="11">
        <f t="shared" si="9"/>
        <v>0</v>
      </c>
      <c r="AL14" s="11">
        <f t="shared" si="9"/>
        <v>0</v>
      </c>
      <c r="AM14" s="11">
        <f t="shared" si="9"/>
        <v>0</v>
      </c>
      <c r="AN14" s="11">
        <f t="shared" si="9"/>
        <v>0</v>
      </c>
      <c r="AO14" s="11">
        <f t="shared" si="9"/>
        <v>0</v>
      </c>
      <c r="AP14" s="11">
        <f t="shared" si="9"/>
        <v>0</v>
      </c>
      <c r="AQ14" s="11">
        <f t="shared" si="9"/>
        <v>0</v>
      </c>
      <c r="AR14" s="11">
        <f t="shared" si="9"/>
        <v>0</v>
      </c>
      <c r="AS14" s="11">
        <f t="shared" si="9"/>
        <v>0</v>
      </c>
      <c r="AT14" s="11">
        <f t="shared" si="6"/>
        <v>0</v>
      </c>
      <c r="AU14" s="11">
        <f t="shared" si="6"/>
        <v>0</v>
      </c>
      <c r="AV14" s="11">
        <f t="shared" si="6"/>
        <v>0</v>
      </c>
      <c r="AW14" s="11">
        <f t="shared" si="6"/>
        <v>0</v>
      </c>
      <c r="AX14" s="11">
        <f t="shared" si="6"/>
        <v>0</v>
      </c>
      <c r="AY14" s="11">
        <f t="shared" si="6"/>
        <v>0</v>
      </c>
      <c r="AZ14" s="11">
        <f t="shared" si="6"/>
        <v>0</v>
      </c>
      <c r="BA14" s="11">
        <f t="shared" si="6"/>
        <v>0</v>
      </c>
      <c r="BB14" s="11">
        <f t="shared" si="6"/>
        <v>0</v>
      </c>
      <c r="BC14" s="11">
        <f t="shared" si="6"/>
        <v>0</v>
      </c>
      <c r="BD14" s="11">
        <f t="shared" si="6"/>
        <v>0</v>
      </c>
      <c r="BE14" s="11">
        <f t="shared" si="6"/>
        <v>0</v>
      </c>
      <c r="BF14" s="11">
        <f t="shared" si="6"/>
        <v>0</v>
      </c>
      <c r="BG14" s="11">
        <f t="shared" si="6"/>
        <v>0</v>
      </c>
      <c r="BH14" s="11">
        <f t="shared" si="6"/>
        <v>0</v>
      </c>
      <c r="BI14" s="11">
        <f t="shared" si="6"/>
        <v>0</v>
      </c>
      <c r="BJ14" s="11">
        <f t="shared" si="6"/>
        <v>0</v>
      </c>
      <c r="BK14" s="11">
        <f t="shared" si="6"/>
        <v>0</v>
      </c>
      <c r="BL14" s="11">
        <f t="shared" si="6"/>
        <v>0</v>
      </c>
      <c r="CA14" s="12"/>
    </row>
    <row r="15" spans="2:85" s="12" customFormat="1" ht="23.25" customHeight="1" x14ac:dyDescent="0.25">
      <c r="B15" s="238" t="s">
        <v>13</v>
      </c>
      <c r="C15" s="262"/>
      <c r="D15" s="262"/>
      <c r="E15" s="14" t="s">
        <v>10</v>
      </c>
      <c r="F15" s="8"/>
      <c r="G15" s="8"/>
      <c r="H15" s="9"/>
      <c r="I15" s="9"/>
      <c r="J15" s="9"/>
      <c r="K15" s="9"/>
      <c r="L15" s="31"/>
      <c r="M15" s="10"/>
      <c r="N15" s="10"/>
      <c r="O15" s="10"/>
      <c r="P15" s="10"/>
      <c r="Q15" s="10"/>
      <c r="R15" s="31"/>
      <c r="S15" s="10"/>
      <c r="T15" s="10"/>
      <c r="U15" s="10"/>
      <c r="V15" s="10"/>
      <c r="W15" s="10"/>
      <c r="X15" s="8"/>
      <c r="Y15" s="8"/>
      <c r="Z15" s="8"/>
      <c r="AA15" s="8"/>
      <c r="AB15" s="9"/>
      <c r="AC15" s="112"/>
      <c r="AD15" s="9"/>
      <c r="AE15" s="9"/>
      <c r="AF15" s="31"/>
      <c r="AG15" s="10"/>
      <c r="AH15" s="10"/>
      <c r="AI15" s="10"/>
      <c r="AJ15" s="10"/>
      <c r="AK15" s="10"/>
      <c r="AL15" s="9"/>
      <c r="AM15" s="9"/>
      <c r="AN15" s="10"/>
      <c r="AO15" s="9"/>
      <c r="AP15" s="10"/>
      <c r="AQ15" s="10"/>
      <c r="AR15" s="8"/>
      <c r="AS15" s="8"/>
      <c r="AT15" s="9"/>
      <c r="AU15" s="9"/>
      <c r="AV15" s="9"/>
      <c r="AW15" s="9"/>
      <c r="AX15" s="31"/>
      <c r="AY15" s="10"/>
      <c r="AZ15" s="10"/>
      <c r="BA15" s="10"/>
      <c r="BB15" s="8"/>
      <c r="BC15" s="8"/>
      <c r="BD15" s="9"/>
      <c r="BE15" s="9"/>
      <c r="BF15" s="9"/>
      <c r="BG15" s="9"/>
      <c r="BH15" s="31"/>
      <c r="BI15" s="10"/>
      <c r="BJ15" s="10"/>
      <c r="BK15" s="10"/>
      <c r="BL15" s="10"/>
    </row>
    <row r="16" spans="2:85" ht="23.25" customHeight="1" x14ac:dyDescent="0.25">
      <c r="B16" s="238"/>
      <c r="C16" s="262"/>
      <c r="D16" s="262"/>
      <c r="E16" s="118" t="s">
        <v>6</v>
      </c>
      <c r="F16" s="50">
        <f t="shared" ref="F16:K16" si="10">F15/8</f>
        <v>0</v>
      </c>
      <c r="G16" s="50">
        <f t="shared" si="10"/>
        <v>0</v>
      </c>
      <c r="H16" s="50">
        <f t="shared" si="10"/>
        <v>0</v>
      </c>
      <c r="I16" s="50">
        <f t="shared" si="10"/>
        <v>0</v>
      </c>
      <c r="J16" s="50">
        <f t="shared" si="10"/>
        <v>0</v>
      </c>
      <c r="K16" s="50">
        <f t="shared" si="10"/>
        <v>0</v>
      </c>
      <c r="L16" s="50">
        <f t="shared" ref="L16:R16" si="11">+L15/8</f>
        <v>0</v>
      </c>
      <c r="M16" s="50">
        <f t="shared" si="11"/>
        <v>0</v>
      </c>
      <c r="N16" s="50">
        <f t="shared" si="11"/>
        <v>0</v>
      </c>
      <c r="O16" s="50">
        <f t="shared" si="11"/>
        <v>0</v>
      </c>
      <c r="P16" s="50">
        <f t="shared" si="11"/>
        <v>0</v>
      </c>
      <c r="Q16" s="50">
        <f t="shared" si="11"/>
        <v>0</v>
      </c>
      <c r="R16" s="50">
        <f t="shared" si="11"/>
        <v>0</v>
      </c>
      <c r="S16" s="50">
        <f>+S15/10</f>
        <v>0</v>
      </c>
      <c r="T16" s="50">
        <f t="shared" ref="T16:AB16" si="12">+T15/10</f>
        <v>0</v>
      </c>
      <c r="U16" s="50">
        <f t="shared" si="12"/>
        <v>0</v>
      </c>
      <c r="V16" s="50">
        <f t="shared" si="12"/>
        <v>0</v>
      </c>
      <c r="W16" s="50">
        <f t="shared" si="12"/>
        <v>0</v>
      </c>
      <c r="X16" s="50">
        <f t="shared" si="12"/>
        <v>0</v>
      </c>
      <c r="Y16" s="50">
        <f t="shared" si="12"/>
        <v>0</v>
      </c>
      <c r="Z16" s="50">
        <f t="shared" si="12"/>
        <v>0</v>
      </c>
      <c r="AA16" s="50">
        <f t="shared" si="12"/>
        <v>0</v>
      </c>
      <c r="AB16" s="50">
        <f t="shared" si="12"/>
        <v>0</v>
      </c>
      <c r="AC16" s="50">
        <f>AC15/10</f>
        <v>0</v>
      </c>
      <c r="AD16" s="134">
        <f>AD15/11</f>
        <v>0</v>
      </c>
      <c r="AE16" s="50">
        <f t="shared" ref="AE16:AS16" si="13">AE15/10</f>
        <v>0</v>
      </c>
      <c r="AF16" s="50">
        <f t="shared" si="13"/>
        <v>0</v>
      </c>
      <c r="AG16" s="50">
        <f t="shared" si="13"/>
        <v>0</v>
      </c>
      <c r="AH16" s="50">
        <f t="shared" si="13"/>
        <v>0</v>
      </c>
      <c r="AI16" s="50">
        <f t="shared" si="13"/>
        <v>0</v>
      </c>
      <c r="AJ16" s="50">
        <f t="shared" si="13"/>
        <v>0</v>
      </c>
      <c r="AK16" s="50">
        <f t="shared" si="13"/>
        <v>0</v>
      </c>
      <c r="AL16" s="50">
        <f t="shared" si="13"/>
        <v>0</v>
      </c>
      <c r="AM16" s="50">
        <f t="shared" si="13"/>
        <v>0</v>
      </c>
      <c r="AN16" s="50">
        <f t="shared" si="13"/>
        <v>0</v>
      </c>
      <c r="AO16" s="50">
        <f t="shared" si="13"/>
        <v>0</v>
      </c>
      <c r="AP16" s="50">
        <f t="shared" si="13"/>
        <v>0</v>
      </c>
      <c r="AQ16" s="50">
        <f t="shared" si="13"/>
        <v>0</v>
      </c>
      <c r="AR16" s="50">
        <f t="shared" si="13"/>
        <v>0</v>
      </c>
      <c r="AS16" s="50">
        <f t="shared" si="13"/>
        <v>0</v>
      </c>
      <c r="AT16" s="50">
        <f>+AT15/10</f>
        <v>0</v>
      </c>
      <c r="AU16" s="50">
        <f>+AU15/9</f>
        <v>0</v>
      </c>
      <c r="AV16" s="50">
        <f>+AV15/7</f>
        <v>0</v>
      </c>
      <c r="AW16" s="50">
        <f>+AW15/9</f>
        <v>0</v>
      </c>
      <c r="AX16" s="50">
        <f>+AX15/9</f>
        <v>0</v>
      </c>
      <c r="AY16" s="50">
        <f>+AY15/9</f>
        <v>0</v>
      </c>
      <c r="AZ16" s="50">
        <f>+AZ15/9</f>
        <v>0</v>
      </c>
      <c r="BA16" s="50">
        <f>+BA15/9</f>
        <v>0</v>
      </c>
      <c r="BB16" s="50">
        <f>+BB15/5</f>
        <v>0</v>
      </c>
      <c r="BC16" s="50">
        <f>+BC15/9</f>
        <v>0</v>
      </c>
      <c r="BD16" s="50">
        <f>+BD15/9</f>
        <v>0</v>
      </c>
      <c r="BE16" s="50">
        <f>+BE15/9</f>
        <v>0</v>
      </c>
      <c r="BF16" s="50">
        <f>+BF15/9</f>
        <v>0</v>
      </c>
      <c r="BG16" s="50">
        <f>+BG15/10</f>
        <v>0</v>
      </c>
      <c r="BH16" s="50">
        <f>+BH15/10</f>
        <v>0</v>
      </c>
      <c r="BI16" s="50">
        <f>+BI15/9</f>
        <v>0</v>
      </c>
      <c r="BJ16" s="50">
        <f>+BJ15/9</f>
        <v>0</v>
      </c>
      <c r="BK16" s="50">
        <f>+BK15/9</f>
        <v>0</v>
      </c>
      <c r="BL16" s="50">
        <f>+BL15/9</f>
        <v>0</v>
      </c>
    </row>
    <row r="17" spans="2:85" s="12" customFormat="1" ht="23.25" customHeight="1" x14ac:dyDescent="0.25">
      <c r="B17" s="306" t="s">
        <v>11</v>
      </c>
      <c r="C17" s="307"/>
      <c r="D17" s="307"/>
      <c r="E17" s="308"/>
      <c r="F17" s="5">
        <v>12</v>
      </c>
      <c r="G17" s="5">
        <v>12</v>
      </c>
      <c r="H17" s="5">
        <v>12</v>
      </c>
      <c r="I17" s="5">
        <v>12</v>
      </c>
      <c r="J17" s="5">
        <v>12</v>
      </c>
      <c r="K17" s="5">
        <v>24</v>
      </c>
      <c r="L17" s="5">
        <v>24</v>
      </c>
      <c r="M17" s="5">
        <v>24</v>
      </c>
      <c r="N17" s="5">
        <v>24</v>
      </c>
      <c r="O17" s="5">
        <v>24</v>
      </c>
      <c r="P17" s="5">
        <v>36</v>
      </c>
      <c r="Q17" s="5">
        <v>36</v>
      </c>
      <c r="R17" s="5">
        <v>36</v>
      </c>
      <c r="S17" s="5">
        <v>36</v>
      </c>
      <c r="T17" s="5">
        <v>36</v>
      </c>
      <c r="U17" s="5">
        <v>48</v>
      </c>
      <c r="V17" s="5">
        <v>48</v>
      </c>
      <c r="W17" s="5">
        <v>48</v>
      </c>
      <c r="X17" s="5">
        <v>48</v>
      </c>
      <c r="Y17" s="5">
        <v>48</v>
      </c>
      <c r="Z17" s="5">
        <v>60</v>
      </c>
      <c r="AA17" s="5">
        <v>60</v>
      </c>
      <c r="AB17" s="5">
        <v>60</v>
      </c>
      <c r="AC17" s="5">
        <v>60</v>
      </c>
      <c r="AD17" s="5">
        <v>60</v>
      </c>
      <c r="AE17" s="5">
        <v>72</v>
      </c>
      <c r="AF17" s="5">
        <v>72</v>
      </c>
      <c r="AG17" s="5">
        <v>72</v>
      </c>
      <c r="AH17" s="5">
        <v>72</v>
      </c>
      <c r="AI17" s="5">
        <v>72</v>
      </c>
      <c r="AJ17" s="5">
        <v>84</v>
      </c>
      <c r="AK17" s="5">
        <v>84</v>
      </c>
      <c r="AL17" s="5">
        <v>84</v>
      </c>
      <c r="AM17" s="5">
        <v>84</v>
      </c>
      <c r="AN17" s="5">
        <v>84</v>
      </c>
      <c r="AO17" s="5">
        <v>96</v>
      </c>
      <c r="AP17" s="5">
        <v>96</v>
      </c>
      <c r="AQ17" s="5">
        <v>96</v>
      </c>
      <c r="AR17" s="5">
        <v>96</v>
      </c>
      <c r="AS17" s="5">
        <v>96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/>
      <c r="BN17"/>
      <c r="BO17"/>
      <c r="BP17"/>
      <c r="BQ17"/>
      <c r="BR17"/>
    </row>
    <row r="18" spans="2:85" ht="23.25" customHeight="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2:85" s="12" customFormat="1" ht="23.25" customHeight="1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Z19"/>
      <c r="CA19"/>
      <c r="CB19"/>
      <c r="CC19"/>
      <c r="CD19"/>
      <c r="CE19"/>
      <c r="CF19"/>
      <c r="CG19"/>
    </row>
    <row r="20" spans="2:85" ht="23.25" customHeight="1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2:85" ht="16.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2:85" ht="16.5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2:85" ht="16.5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2:85" ht="16.5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2:85" ht="16.5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2:85" ht="16.5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2:85" ht="16.5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2:85" ht="16.5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BC28" s="26"/>
      <c r="BD28" s="26"/>
      <c r="BE28" s="26"/>
    </row>
    <row r="34" ht="16.5" hidden="1" customHeight="1" x14ac:dyDescent="0.25"/>
    <row r="35" ht="16.5" hidden="1" customHeight="1" x14ac:dyDescent="0.25"/>
    <row r="36" ht="16.5" hidden="1" customHeight="1" x14ac:dyDescent="0.25"/>
    <row r="37" ht="16.5" hidden="1" customHeight="1" x14ac:dyDescent="0.25"/>
    <row r="38" ht="16.5" hidden="1" customHeight="1" x14ac:dyDescent="0.25"/>
    <row r="39" ht="16.5" hidden="1" customHeight="1" x14ac:dyDescent="0.25"/>
    <row r="40" ht="16.5" hidden="1" customHeight="1" x14ac:dyDescent="0.25"/>
    <row r="41" ht="16.5" hidden="1" customHeight="1" x14ac:dyDescent="0.25"/>
    <row r="42" ht="16.5" hidden="1" customHeight="1" x14ac:dyDescent="0.25"/>
    <row r="43" ht="16.5" hidden="1" customHeight="1" x14ac:dyDescent="0.25"/>
    <row r="44" ht="16.5" hidden="1" customHeight="1" x14ac:dyDescent="0.25"/>
    <row r="45" ht="16.5" hidden="1" customHeight="1" x14ac:dyDescent="0.25"/>
    <row r="46" ht="16.5" hidden="1" customHeight="1" x14ac:dyDescent="0.25"/>
    <row r="49" ht="15" hidden="1" customHeight="1" x14ac:dyDescent="0.25"/>
    <row r="50" ht="15" hidden="1" customHeight="1" x14ac:dyDescent="0.25"/>
    <row r="51" ht="15" hidden="1" customHeight="1" x14ac:dyDescent="0.25"/>
    <row r="52" ht="15" hidden="1" customHeight="1" x14ac:dyDescent="0.25"/>
    <row r="53" ht="15" hidden="1" customHeight="1" x14ac:dyDescent="0.25"/>
    <row r="54" ht="15" hidden="1" customHeight="1" x14ac:dyDescent="0.25"/>
    <row r="55" ht="15" hidden="1" customHeight="1" x14ac:dyDescent="0.25"/>
    <row r="56" ht="15" hidden="1" customHeight="1" x14ac:dyDescent="0.25"/>
    <row r="57" ht="15" hidden="1" customHeight="1" x14ac:dyDescent="0.25"/>
    <row r="58" ht="15" hidden="1" customHeight="1" x14ac:dyDescent="0.25"/>
    <row r="59" ht="15" hidden="1" customHeight="1" x14ac:dyDescent="0.25"/>
    <row r="60" ht="15" hidden="1" customHeight="1" x14ac:dyDescent="0.25"/>
    <row r="61" ht="15" hidden="1" customHeight="1" x14ac:dyDescent="0.25"/>
    <row r="62" ht="15" hidden="1" customHeight="1" x14ac:dyDescent="0.25"/>
    <row r="63" ht="15" hidden="1" customHeight="1" x14ac:dyDescent="0.25"/>
    <row r="64" ht="15" hidden="1" customHeight="1" x14ac:dyDescent="0.25"/>
  </sheetData>
  <mergeCells count="19">
    <mergeCell ref="B17:E17"/>
    <mergeCell ref="B13:B14"/>
    <mergeCell ref="C13:C14"/>
    <mergeCell ref="D13:D14"/>
    <mergeCell ref="B15:B16"/>
    <mergeCell ref="C15:C16"/>
    <mergeCell ref="D15:D16"/>
    <mergeCell ref="B9:B10"/>
    <mergeCell ref="C9:C10"/>
    <mergeCell ref="D9:D10"/>
    <mergeCell ref="B11:B12"/>
    <mergeCell ref="C11:C12"/>
    <mergeCell ref="D11:D12"/>
    <mergeCell ref="B1:X2"/>
    <mergeCell ref="B4:E4"/>
    <mergeCell ref="B6:B8"/>
    <mergeCell ref="C6:D7"/>
    <mergeCell ref="E6:E8"/>
    <mergeCell ref="F6:BL6"/>
  </mergeCells>
  <conditionalFormatting sqref="F13 BI13:BL13 L13:X13">
    <cfRule type="containsBlanks" dxfId="148" priority="113">
      <formula>LEN(TRIM(F13))=0</formula>
    </cfRule>
  </conditionalFormatting>
  <conditionalFormatting sqref="Q13 BH13">
    <cfRule type="containsBlanks" dxfId="147" priority="112">
      <formula>LEN(TRIM(Q13))=0</formula>
    </cfRule>
  </conditionalFormatting>
  <conditionalFormatting sqref="K13">
    <cfRule type="containsBlanks" dxfId="146" priority="111">
      <formula>LEN(TRIM(K13))=0</formula>
    </cfRule>
  </conditionalFormatting>
  <conditionalFormatting sqref="G13">
    <cfRule type="containsBlanks" dxfId="145" priority="110">
      <formula>LEN(TRIM(G13))=0</formula>
    </cfRule>
  </conditionalFormatting>
  <conditionalFormatting sqref="J13">
    <cfRule type="containsBlanks" dxfId="144" priority="109">
      <formula>LEN(TRIM(J13))=0</formula>
    </cfRule>
  </conditionalFormatting>
  <conditionalFormatting sqref="I13">
    <cfRule type="containsBlanks" dxfId="143" priority="108">
      <formula>LEN(TRIM(I13))=0</formula>
    </cfRule>
  </conditionalFormatting>
  <conditionalFormatting sqref="H13">
    <cfRule type="containsBlanks" dxfId="142" priority="107">
      <formula>LEN(TRIM(H13))=0</formula>
    </cfRule>
  </conditionalFormatting>
  <conditionalFormatting sqref="BL13 AY13:BC13">
    <cfRule type="containsBlanks" dxfId="141" priority="106">
      <formula>LEN(TRIM(AY13))=0</formula>
    </cfRule>
  </conditionalFormatting>
  <conditionalFormatting sqref="BE13:BK13">
    <cfRule type="containsBlanks" dxfId="140" priority="105">
      <formula>LEN(TRIM(BE13))=0</formula>
    </cfRule>
  </conditionalFormatting>
  <conditionalFormatting sqref="BD13">
    <cfRule type="containsBlanks" dxfId="139" priority="104">
      <formula>LEN(TRIM(BD13))=0</formula>
    </cfRule>
  </conditionalFormatting>
  <conditionalFormatting sqref="AX13">
    <cfRule type="containsBlanks" dxfId="138" priority="103">
      <formula>LEN(TRIM(AX13))=0</formula>
    </cfRule>
  </conditionalFormatting>
  <conditionalFormatting sqref="AT13">
    <cfRule type="containsBlanks" dxfId="137" priority="102">
      <formula>LEN(TRIM(AT13))=0</formula>
    </cfRule>
  </conditionalFormatting>
  <conditionalFormatting sqref="AW13">
    <cfRule type="containsBlanks" dxfId="136" priority="101">
      <formula>LEN(TRIM(AW13))=0</formula>
    </cfRule>
  </conditionalFormatting>
  <conditionalFormatting sqref="AV13">
    <cfRule type="containsBlanks" dxfId="135" priority="100">
      <formula>LEN(TRIM(AV13))=0</formula>
    </cfRule>
  </conditionalFormatting>
  <conditionalFormatting sqref="AU13">
    <cfRule type="containsBlanks" dxfId="134" priority="99">
      <formula>LEN(TRIM(AU13))=0</formula>
    </cfRule>
  </conditionalFormatting>
  <conditionalFormatting sqref="Y13">
    <cfRule type="containsBlanks" dxfId="133" priority="98">
      <formula>LEN(TRIM(Y13))=0</formula>
    </cfRule>
  </conditionalFormatting>
  <conditionalFormatting sqref="R13">
    <cfRule type="containsBlanks" dxfId="132" priority="97">
      <formula>LEN(TRIM(R13))=0</formula>
    </cfRule>
  </conditionalFormatting>
  <conditionalFormatting sqref="F9 BI9:BL9 L9:X9">
    <cfRule type="containsBlanks" dxfId="131" priority="96">
      <formula>LEN(TRIM(F9))=0</formula>
    </cfRule>
  </conditionalFormatting>
  <conditionalFormatting sqref="Q9 BH9">
    <cfRule type="containsBlanks" dxfId="130" priority="95">
      <formula>LEN(TRIM(Q9))=0</formula>
    </cfRule>
  </conditionalFormatting>
  <conditionalFormatting sqref="K9">
    <cfRule type="containsBlanks" dxfId="129" priority="94">
      <formula>LEN(TRIM(K9))=0</formula>
    </cfRule>
  </conditionalFormatting>
  <conditionalFormatting sqref="G9">
    <cfRule type="containsBlanks" dxfId="128" priority="93">
      <formula>LEN(TRIM(G9))=0</formula>
    </cfRule>
  </conditionalFormatting>
  <conditionalFormatting sqref="J9">
    <cfRule type="containsBlanks" dxfId="127" priority="92">
      <formula>LEN(TRIM(J9))=0</formula>
    </cfRule>
  </conditionalFormatting>
  <conditionalFormatting sqref="I9">
    <cfRule type="containsBlanks" dxfId="126" priority="91">
      <formula>LEN(TRIM(I9))=0</formula>
    </cfRule>
  </conditionalFormatting>
  <conditionalFormatting sqref="H9">
    <cfRule type="containsBlanks" dxfId="125" priority="90">
      <formula>LEN(TRIM(H9))=0</formula>
    </cfRule>
  </conditionalFormatting>
  <conditionalFormatting sqref="BL9 AY9:BC9">
    <cfRule type="containsBlanks" dxfId="124" priority="89">
      <formula>LEN(TRIM(AY9))=0</formula>
    </cfRule>
  </conditionalFormatting>
  <conditionalFormatting sqref="BE9:BK9">
    <cfRule type="containsBlanks" dxfId="123" priority="88">
      <formula>LEN(TRIM(BE9))=0</formula>
    </cfRule>
  </conditionalFormatting>
  <conditionalFormatting sqref="BD9">
    <cfRule type="containsBlanks" dxfId="122" priority="87">
      <formula>LEN(TRIM(BD9))=0</formula>
    </cfRule>
  </conditionalFormatting>
  <conditionalFormatting sqref="AX9">
    <cfRule type="containsBlanks" dxfId="121" priority="86">
      <formula>LEN(TRIM(AX9))=0</formula>
    </cfRule>
  </conditionalFormatting>
  <conditionalFormatting sqref="AT9">
    <cfRule type="containsBlanks" dxfId="120" priority="85">
      <formula>LEN(TRIM(AT9))=0</formula>
    </cfRule>
  </conditionalFormatting>
  <conditionalFormatting sqref="AW9">
    <cfRule type="containsBlanks" dxfId="119" priority="84">
      <formula>LEN(TRIM(AW9))=0</formula>
    </cfRule>
  </conditionalFormatting>
  <conditionalFormatting sqref="AV9">
    <cfRule type="containsBlanks" dxfId="118" priority="83">
      <formula>LEN(TRIM(AV9))=0</formula>
    </cfRule>
  </conditionalFormatting>
  <conditionalFormatting sqref="AU9">
    <cfRule type="containsBlanks" dxfId="117" priority="82">
      <formula>LEN(TRIM(AU9))=0</formula>
    </cfRule>
  </conditionalFormatting>
  <conditionalFormatting sqref="Y9">
    <cfRule type="containsBlanks" dxfId="116" priority="81">
      <formula>LEN(TRIM(Y9))=0</formula>
    </cfRule>
  </conditionalFormatting>
  <conditionalFormatting sqref="R9">
    <cfRule type="containsBlanks" dxfId="115" priority="80">
      <formula>LEN(TRIM(R9))=0</formula>
    </cfRule>
  </conditionalFormatting>
  <conditionalFormatting sqref="F11 L11:X11">
    <cfRule type="containsBlanks" dxfId="114" priority="79">
      <formula>LEN(TRIM(F11))=0</formula>
    </cfRule>
  </conditionalFormatting>
  <conditionalFormatting sqref="Q11">
    <cfRule type="containsBlanks" dxfId="113" priority="78">
      <formula>LEN(TRIM(Q11))=0</formula>
    </cfRule>
  </conditionalFormatting>
  <conditionalFormatting sqref="K11">
    <cfRule type="containsBlanks" dxfId="112" priority="77">
      <formula>LEN(TRIM(K11))=0</formula>
    </cfRule>
  </conditionalFormatting>
  <conditionalFormatting sqref="G11">
    <cfRule type="containsBlanks" dxfId="111" priority="76">
      <formula>LEN(TRIM(G11))=0</formula>
    </cfRule>
  </conditionalFormatting>
  <conditionalFormatting sqref="J11">
    <cfRule type="containsBlanks" dxfId="110" priority="75">
      <formula>LEN(TRIM(J11))=0</formula>
    </cfRule>
  </conditionalFormatting>
  <conditionalFormatting sqref="I11">
    <cfRule type="containsBlanks" dxfId="109" priority="74">
      <formula>LEN(TRIM(I11))=0</formula>
    </cfRule>
  </conditionalFormatting>
  <conditionalFormatting sqref="H11">
    <cfRule type="containsBlanks" dxfId="108" priority="73">
      <formula>LEN(TRIM(H11))=0</formula>
    </cfRule>
  </conditionalFormatting>
  <conditionalFormatting sqref="Y11">
    <cfRule type="containsBlanks" dxfId="107" priority="72">
      <formula>LEN(TRIM(Y11))=0</formula>
    </cfRule>
  </conditionalFormatting>
  <conditionalFormatting sqref="R11">
    <cfRule type="containsBlanks" dxfId="106" priority="71">
      <formula>LEN(TRIM(R11))=0</formula>
    </cfRule>
  </conditionalFormatting>
  <conditionalFormatting sqref="F15 L15:Q15">
    <cfRule type="containsBlanks" dxfId="105" priority="70">
      <formula>LEN(TRIM(F15))=0</formula>
    </cfRule>
  </conditionalFormatting>
  <conditionalFormatting sqref="Q15">
    <cfRule type="containsBlanks" dxfId="104" priority="69">
      <formula>LEN(TRIM(Q15))=0</formula>
    </cfRule>
  </conditionalFormatting>
  <conditionalFormatting sqref="K15">
    <cfRule type="containsBlanks" dxfId="103" priority="68">
      <formula>LEN(TRIM(K15))=0</formula>
    </cfRule>
  </conditionalFormatting>
  <conditionalFormatting sqref="G15">
    <cfRule type="containsBlanks" dxfId="102" priority="67">
      <formula>LEN(TRIM(G15))=0</formula>
    </cfRule>
  </conditionalFormatting>
  <conditionalFormatting sqref="J15">
    <cfRule type="containsBlanks" dxfId="101" priority="66">
      <formula>LEN(TRIM(J15))=0</formula>
    </cfRule>
  </conditionalFormatting>
  <conditionalFormatting sqref="I15">
    <cfRule type="containsBlanks" dxfId="100" priority="65">
      <formula>LEN(TRIM(I15))=0</formula>
    </cfRule>
  </conditionalFormatting>
  <conditionalFormatting sqref="H15">
    <cfRule type="containsBlanks" dxfId="99" priority="64">
      <formula>LEN(TRIM(H15))=0</formula>
    </cfRule>
  </conditionalFormatting>
  <conditionalFormatting sqref="X15 AX15:BA15">
    <cfRule type="containsBlanks" dxfId="98" priority="63">
      <formula>LEN(TRIM(X15))=0</formula>
    </cfRule>
  </conditionalFormatting>
  <conditionalFormatting sqref="AS13">
    <cfRule type="containsBlanks" dxfId="97" priority="50">
      <formula>LEN(TRIM(AS13))=0</formula>
    </cfRule>
  </conditionalFormatting>
  <conditionalFormatting sqref="AW15">
    <cfRule type="containsBlanks" dxfId="96" priority="62">
      <formula>LEN(TRIM(AW15))=0</formula>
    </cfRule>
  </conditionalFormatting>
  <conditionalFormatting sqref="Y15">
    <cfRule type="containsBlanks" dxfId="95" priority="61">
      <formula>LEN(TRIM(Y15))=0</formula>
    </cfRule>
  </conditionalFormatting>
  <conditionalFormatting sqref="AV15">
    <cfRule type="containsBlanks" dxfId="94" priority="60">
      <formula>LEN(TRIM(AV15))=0</formula>
    </cfRule>
  </conditionalFormatting>
  <conditionalFormatting sqref="AU15">
    <cfRule type="containsBlanks" dxfId="93" priority="59">
      <formula>LEN(TRIM(AU15))=0</formula>
    </cfRule>
  </conditionalFormatting>
  <conditionalFormatting sqref="AT15">
    <cfRule type="containsBlanks" dxfId="92" priority="58">
      <formula>LEN(TRIM(AT15))=0</formula>
    </cfRule>
  </conditionalFormatting>
  <conditionalFormatting sqref="Z13 AF13:AR13">
    <cfRule type="containsBlanks" dxfId="91" priority="57">
      <formula>LEN(TRIM(Z13))=0</formula>
    </cfRule>
  </conditionalFormatting>
  <conditionalFormatting sqref="AK13">
    <cfRule type="containsBlanks" dxfId="90" priority="56">
      <formula>LEN(TRIM(AK13))=0</formula>
    </cfRule>
  </conditionalFormatting>
  <conditionalFormatting sqref="AE13">
    <cfRule type="containsBlanks" dxfId="89" priority="55">
      <formula>LEN(TRIM(AE13))=0</formula>
    </cfRule>
  </conditionalFormatting>
  <conditionalFormatting sqref="AA13">
    <cfRule type="containsBlanks" dxfId="88" priority="54">
      <formula>LEN(TRIM(AA13))=0</formula>
    </cfRule>
  </conditionalFormatting>
  <conditionalFormatting sqref="AD13">
    <cfRule type="containsBlanks" dxfId="87" priority="53">
      <formula>LEN(TRIM(AD13))=0</formula>
    </cfRule>
  </conditionalFormatting>
  <conditionalFormatting sqref="AC13">
    <cfRule type="containsBlanks" dxfId="86" priority="52">
      <formula>LEN(TRIM(AC13))=0</formula>
    </cfRule>
  </conditionalFormatting>
  <conditionalFormatting sqref="AB13">
    <cfRule type="containsBlanks" dxfId="85" priority="51">
      <formula>LEN(TRIM(AB13))=0</formula>
    </cfRule>
  </conditionalFormatting>
  <conditionalFormatting sqref="AL13">
    <cfRule type="containsBlanks" dxfId="84" priority="49">
      <formula>LEN(TRIM(AL13))=0</formula>
    </cfRule>
  </conditionalFormatting>
  <conditionalFormatting sqref="Z9 AF9:AR9">
    <cfRule type="containsBlanks" dxfId="83" priority="48">
      <formula>LEN(TRIM(Z9))=0</formula>
    </cfRule>
  </conditionalFormatting>
  <conditionalFormatting sqref="AK9">
    <cfRule type="containsBlanks" dxfId="82" priority="47">
      <formula>LEN(TRIM(AK9))=0</formula>
    </cfRule>
  </conditionalFormatting>
  <conditionalFormatting sqref="AE9">
    <cfRule type="containsBlanks" dxfId="81" priority="46">
      <formula>LEN(TRIM(AE9))=0</formula>
    </cfRule>
  </conditionalFormatting>
  <conditionalFormatting sqref="AA9">
    <cfRule type="containsBlanks" dxfId="80" priority="45">
      <formula>LEN(TRIM(AA9))=0</formula>
    </cfRule>
  </conditionalFormatting>
  <conditionalFormatting sqref="AD9">
    <cfRule type="containsBlanks" dxfId="79" priority="44">
      <formula>LEN(TRIM(AD9))=0</formula>
    </cfRule>
  </conditionalFormatting>
  <conditionalFormatting sqref="AC9">
    <cfRule type="containsBlanks" dxfId="78" priority="43">
      <formula>LEN(TRIM(AC9))=0</formula>
    </cfRule>
  </conditionalFormatting>
  <conditionalFormatting sqref="AB9">
    <cfRule type="containsBlanks" dxfId="77" priority="42">
      <formula>LEN(TRIM(AB9))=0</formula>
    </cfRule>
  </conditionalFormatting>
  <conditionalFormatting sqref="AS9">
    <cfRule type="containsBlanks" dxfId="76" priority="41">
      <formula>LEN(TRIM(AS9))=0</formula>
    </cfRule>
  </conditionalFormatting>
  <conditionalFormatting sqref="AL9">
    <cfRule type="containsBlanks" dxfId="75" priority="40">
      <formula>LEN(TRIM(AL9))=0</formula>
    </cfRule>
  </conditionalFormatting>
  <conditionalFormatting sqref="Z11 AF11:AR11">
    <cfRule type="containsBlanks" dxfId="74" priority="39">
      <formula>LEN(TRIM(Z11))=0</formula>
    </cfRule>
  </conditionalFormatting>
  <conditionalFormatting sqref="AK11">
    <cfRule type="containsBlanks" dxfId="73" priority="38">
      <formula>LEN(TRIM(AK11))=0</formula>
    </cfRule>
  </conditionalFormatting>
  <conditionalFormatting sqref="AE11">
    <cfRule type="containsBlanks" dxfId="72" priority="37">
      <formula>LEN(TRIM(AE11))=0</formula>
    </cfRule>
  </conditionalFormatting>
  <conditionalFormatting sqref="AA11">
    <cfRule type="containsBlanks" dxfId="71" priority="36">
      <formula>LEN(TRIM(AA11))=0</formula>
    </cfRule>
  </conditionalFormatting>
  <conditionalFormatting sqref="AD11">
    <cfRule type="containsBlanks" dxfId="70" priority="35">
      <formula>LEN(TRIM(AD11))=0</formula>
    </cfRule>
  </conditionalFormatting>
  <conditionalFormatting sqref="AC11">
    <cfRule type="containsBlanks" dxfId="69" priority="34">
      <formula>LEN(TRIM(AC11))=0</formula>
    </cfRule>
  </conditionalFormatting>
  <conditionalFormatting sqref="AB11">
    <cfRule type="containsBlanks" dxfId="68" priority="33">
      <formula>LEN(TRIM(AB11))=0</formula>
    </cfRule>
  </conditionalFormatting>
  <conditionalFormatting sqref="AS11">
    <cfRule type="containsBlanks" dxfId="67" priority="32">
      <formula>LEN(TRIM(AS11))=0</formula>
    </cfRule>
  </conditionalFormatting>
  <conditionalFormatting sqref="AL11">
    <cfRule type="containsBlanks" dxfId="66" priority="31">
      <formula>LEN(TRIM(AL11))=0</formula>
    </cfRule>
  </conditionalFormatting>
  <conditionalFormatting sqref="Z15 AF15:AJ15">
    <cfRule type="containsBlanks" dxfId="65" priority="30">
      <formula>LEN(TRIM(Z15))=0</formula>
    </cfRule>
  </conditionalFormatting>
  <conditionalFormatting sqref="AA15">
    <cfRule type="containsBlanks" dxfId="64" priority="28">
      <formula>LEN(TRIM(AA15))=0</formula>
    </cfRule>
  </conditionalFormatting>
  <conditionalFormatting sqref="AE15">
    <cfRule type="containsBlanks" dxfId="63" priority="29">
      <formula>LEN(TRIM(AE15))=0</formula>
    </cfRule>
  </conditionalFormatting>
  <conditionalFormatting sqref="AD15">
    <cfRule type="containsBlanks" dxfId="62" priority="27">
      <formula>LEN(TRIM(AD15))=0</formula>
    </cfRule>
  </conditionalFormatting>
  <conditionalFormatting sqref="AC15">
    <cfRule type="containsBlanks" dxfId="61" priority="26">
      <formula>LEN(TRIM(AC15))=0</formula>
    </cfRule>
  </conditionalFormatting>
  <conditionalFormatting sqref="AB15">
    <cfRule type="containsBlanks" dxfId="60" priority="25">
      <formula>LEN(TRIM(AB15))=0</formula>
    </cfRule>
  </conditionalFormatting>
  <conditionalFormatting sqref="AR15">
    <cfRule type="containsBlanks" dxfId="59" priority="24">
      <formula>LEN(TRIM(AR15))=0</formula>
    </cfRule>
  </conditionalFormatting>
  <conditionalFormatting sqref="AS15">
    <cfRule type="containsBlanks" dxfId="58" priority="23">
      <formula>LEN(TRIM(AS15))=0</formula>
    </cfRule>
  </conditionalFormatting>
  <conditionalFormatting sqref="AK15">
    <cfRule type="containsBlanks" dxfId="57" priority="3">
      <formula>LEN(TRIM(AK15))=0</formula>
    </cfRule>
  </conditionalFormatting>
  <conditionalFormatting sqref="AT11 AZ11:BA11">
    <cfRule type="containsBlanks" dxfId="56" priority="22">
      <formula>LEN(TRIM(AT11))=0</formula>
    </cfRule>
  </conditionalFormatting>
  <conditionalFormatting sqref="AY11">
    <cfRule type="containsBlanks" dxfId="55" priority="21">
      <formula>LEN(TRIM(AY11))=0</formula>
    </cfRule>
  </conditionalFormatting>
  <conditionalFormatting sqref="AU11">
    <cfRule type="containsBlanks" dxfId="54" priority="20">
      <formula>LEN(TRIM(AU11))=0</formula>
    </cfRule>
  </conditionalFormatting>
  <conditionalFormatting sqref="AX11">
    <cfRule type="containsBlanks" dxfId="53" priority="19">
      <formula>LEN(TRIM(AX11))=0</formula>
    </cfRule>
  </conditionalFormatting>
  <conditionalFormatting sqref="AW11">
    <cfRule type="containsBlanks" dxfId="52" priority="18">
      <formula>LEN(TRIM(AW11))=0</formula>
    </cfRule>
  </conditionalFormatting>
  <conditionalFormatting sqref="AV11">
    <cfRule type="containsBlanks" dxfId="51" priority="17">
      <formula>LEN(TRIM(AV11))=0</formula>
    </cfRule>
  </conditionalFormatting>
  <conditionalFormatting sqref="BB15 BH15:BL15">
    <cfRule type="containsBlanks" dxfId="50" priority="16">
      <formula>LEN(TRIM(BB15))=0</formula>
    </cfRule>
  </conditionalFormatting>
  <conditionalFormatting sqref="BG15">
    <cfRule type="containsBlanks" dxfId="49" priority="15">
      <formula>LEN(TRIM(BG15))=0</formula>
    </cfRule>
  </conditionalFormatting>
  <conditionalFormatting sqref="BC15">
    <cfRule type="containsBlanks" dxfId="48" priority="14">
      <formula>LEN(TRIM(BC15))=0</formula>
    </cfRule>
  </conditionalFormatting>
  <conditionalFormatting sqref="BF15">
    <cfRule type="containsBlanks" dxfId="47" priority="13">
      <formula>LEN(TRIM(BF15))=0</formula>
    </cfRule>
  </conditionalFormatting>
  <conditionalFormatting sqref="BE15">
    <cfRule type="containsBlanks" dxfId="46" priority="12">
      <formula>LEN(TRIM(BE15))=0</formula>
    </cfRule>
  </conditionalFormatting>
  <conditionalFormatting sqref="BD15">
    <cfRule type="containsBlanks" dxfId="45" priority="11">
      <formula>LEN(TRIM(BD15))=0</formula>
    </cfRule>
  </conditionalFormatting>
  <conditionalFormatting sqref="BB11 BH11:BL11">
    <cfRule type="containsBlanks" dxfId="44" priority="10">
      <formula>LEN(TRIM(BB11))=0</formula>
    </cfRule>
  </conditionalFormatting>
  <conditionalFormatting sqref="BG11">
    <cfRule type="containsBlanks" dxfId="43" priority="9">
      <formula>LEN(TRIM(BG11))=0</formula>
    </cfRule>
  </conditionalFormatting>
  <conditionalFormatting sqref="BC11">
    <cfRule type="containsBlanks" dxfId="42" priority="8">
      <formula>LEN(TRIM(BC11))=0</formula>
    </cfRule>
  </conditionalFormatting>
  <conditionalFormatting sqref="BF11">
    <cfRule type="containsBlanks" dxfId="41" priority="7">
      <formula>LEN(TRIM(BF11))=0</formula>
    </cfRule>
  </conditionalFormatting>
  <conditionalFormatting sqref="BE11">
    <cfRule type="containsBlanks" dxfId="40" priority="6">
      <formula>LEN(TRIM(BE11))=0</formula>
    </cfRule>
  </conditionalFormatting>
  <conditionalFormatting sqref="BD11">
    <cfRule type="containsBlanks" dxfId="39" priority="5">
      <formula>LEN(TRIM(BD11))=0</formula>
    </cfRule>
  </conditionalFormatting>
  <conditionalFormatting sqref="AK15:AQ15">
    <cfRule type="containsBlanks" dxfId="38" priority="4">
      <formula>LEN(TRIM(AK15))=0</formula>
    </cfRule>
  </conditionalFormatting>
  <conditionalFormatting sqref="R15:W15">
    <cfRule type="containsBlanks" dxfId="37" priority="2">
      <formula>LEN(TRIM(R15))=0</formula>
    </cfRule>
  </conditionalFormatting>
  <conditionalFormatting sqref="W15">
    <cfRule type="containsBlanks" dxfId="36" priority="1">
      <formula>LEN(TRIM(W15))=0</formula>
    </cfRule>
  </conditionalFormatting>
  <printOptions horizontalCentered="1" verticalCentered="1"/>
  <pageMargins left="0.2" right="0" top="0" bottom="0" header="0" footer="0"/>
  <pageSetup paperSize="9" scale="71" orientation="landscape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I88"/>
  <sheetViews>
    <sheetView showGridLines="0" topLeftCell="AR3" zoomScale="85" zoomScaleNormal="85" workbookViewId="0">
      <selection activeCell="BD10" sqref="BD10"/>
    </sheetView>
  </sheetViews>
  <sheetFormatPr defaultRowHeight="15" x14ac:dyDescent="0.25"/>
  <cols>
    <col min="1" max="1" width="4" customWidth="1"/>
    <col min="2" max="2" width="26" customWidth="1"/>
    <col min="3" max="4" width="7.5703125" hidden="1" customWidth="1"/>
    <col min="5" max="5" width="27.28515625" customWidth="1"/>
    <col min="6" max="6" width="6.7109375" hidden="1" customWidth="1"/>
    <col min="7" max="7" width="7.7109375" hidden="1" customWidth="1"/>
    <col min="8" max="26" width="6.7109375" hidden="1" customWidth="1"/>
    <col min="27" max="27" width="7.7109375" hidden="1" customWidth="1"/>
    <col min="28" max="43" width="6.7109375" hidden="1" customWidth="1"/>
    <col min="44" max="46" width="6.7109375" customWidth="1"/>
    <col min="47" max="47" width="7.7109375" customWidth="1"/>
    <col min="48" max="66" width="6.7109375" customWidth="1"/>
    <col min="67" max="67" width="7.7109375" customWidth="1"/>
    <col min="68" max="85" width="6.7109375" customWidth="1"/>
    <col min="110" max="110" width="26" customWidth="1"/>
    <col min="111" max="111" width="27.28515625" customWidth="1"/>
    <col min="112" max="112" width="6.7109375" hidden="1" customWidth="1"/>
    <col min="113" max="113" width="7.7109375" hidden="1" customWidth="1"/>
    <col min="114" max="134" width="6.7109375" hidden="1" customWidth="1"/>
    <col min="135" max="135" width="7.7109375" hidden="1" customWidth="1"/>
    <col min="136" max="144" width="6.7109375" hidden="1" customWidth="1"/>
    <col min="145" max="165" width="6.7109375" customWidth="1"/>
    <col min="166" max="166" width="9.140625" customWidth="1"/>
  </cols>
  <sheetData>
    <row r="1" spans="2:165" ht="16.5" customHeight="1" x14ac:dyDescent="1.1000000000000001"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CG1" s="1"/>
      <c r="DF1" s="78"/>
      <c r="DG1" s="78"/>
      <c r="DH1" s="78"/>
      <c r="DI1" s="78"/>
      <c r="DJ1" s="78"/>
      <c r="DK1" s="78"/>
      <c r="DL1" s="78"/>
      <c r="DM1" s="78"/>
      <c r="DN1" s="78"/>
      <c r="DO1" s="78"/>
      <c r="DP1" s="78"/>
      <c r="DQ1" s="78"/>
      <c r="DR1" s="78"/>
      <c r="DS1" s="78"/>
      <c r="DT1" s="78"/>
      <c r="DU1" s="78"/>
      <c r="DV1" s="78"/>
      <c r="DW1" s="78"/>
      <c r="DX1" s="78"/>
      <c r="DY1" s="78"/>
      <c r="DZ1" s="78"/>
      <c r="EA1" s="78"/>
      <c r="EB1" s="78"/>
      <c r="EC1" s="78"/>
      <c r="ED1" s="75"/>
      <c r="EE1" s="75"/>
      <c r="EF1" s="75"/>
      <c r="EG1" s="75"/>
      <c r="EH1" s="75"/>
      <c r="EI1" s="75"/>
      <c r="EJ1" s="75"/>
      <c r="EK1" s="75"/>
      <c r="EL1" s="75"/>
      <c r="EM1" s="75"/>
      <c r="EN1" s="75"/>
      <c r="EO1" s="75"/>
      <c r="EP1" s="75"/>
      <c r="EQ1" s="75"/>
      <c r="ER1" s="75"/>
      <c r="ES1" s="75"/>
      <c r="ET1" s="75"/>
      <c r="EU1" s="75"/>
      <c r="EV1" s="76"/>
      <c r="EW1" s="77"/>
      <c r="EX1" s="77"/>
      <c r="EY1" s="77"/>
      <c r="EZ1" s="77"/>
      <c r="FA1" s="77"/>
      <c r="FB1" s="77"/>
      <c r="FC1" s="77"/>
      <c r="FD1" s="77"/>
      <c r="FE1" s="77"/>
      <c r="FF1" s="77"/>
      <c r="FG1" s="77"/>
      <c r="FH1" s="77"/>
      <c r="FI1" s="77"/>
    </row>
    <row r="2" spans="2:165" ht="40.5" customHeight="1" x14ac:dyDescent="0.3"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CG2" s="1"/>
    </row>
    <row r="3" spans="2:165" ht="21" customHeight="1" x14ac:dyDescent="0.3">
      <c r="B3" s="29"/>
      <c r="C3" s="29"/>
      <c r="D3" s="29"/>
      <c r="E3" s="29"/>
      <c r="F3" s="29"/>
      <c r="G3" s="29"/>
      <c r="H3" s="2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90"/>
      <c r="AA3" s="90"/>
      <c r="AB3" s="90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15"/>
      <c r="AU3" s="115"/>
      <c r="AV3" s="115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15"/>
      <c r="BO3" s="115"/>
      <c r="BP3" s="115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2:165" s="2" customFormat="1" ht="18" customHeight="1" x14ac:dyDescent="0.25">
      <c r="B4" s="309" t="s">
        <v>18</v>
      </c>
      <c r="C4" s="309"/>
      <c r="D4" s="309"/>
      <c r="E4" s="309"/>
      <c r="F4" s="27" t="s">
        <v>26</v>
      </c>
      <c r="G4" s="27"/>
      <c r="J4" s="27"/>
      <c r="K4" s="27"/>
      <c r="L4" s="27"/>
      <c r="M4" s="27"/>
      <c r="P4" s="28"/>
      <c r="S4" s="28"/>
      <c r="W4" s="28"/>
      <c r="X4" s="28"/>
      <c r="Y4" s="28"/>
      <c r="AA4" s="27"/>
      <c r="AD4" s="27"/>
      <c r="AE4" s="27"/>
      <c r="AF4" s="27"/>
      <c r="AG4" s="27"/>
      <c r="AJ4" s="28"/>
      <c r="AM4" s="28"/>
      <c r="AP4" s="28"/>
      <c r="AQ4" s="28"/>
      <c r="AR4" s="158" t="s">
        <v>23</v>
      </c>
      <c r="AX4" s="27"/>
      <c r="AY4" s="27"/>
      <c r="AZ4" s="27"/>
      <c r="BA4" s="27" t="s">
        <v>26</v>
      </c>
      <c r="BC4" s="27"/>
      <c r="BD4" s="28"/>
      <c r="BG4" s="28"/>
      <c r="BK4" s="28"/>
      <c r="BL4" s="28"/>
      <c r="BM4" s="28"/>
      <c r="BO4" s="27"/>
      <c r="BR4" s="27"/>
      <c r="BS4" s="27"/>
      <c r="BT4" s="27"/>
      <c r="BU4" s="27"/>
      <c r="BX4" s="28"/>
      <c r="CA4" s="28"/>
      <c r="CD4" s="28"/>
      <c r="CE4" s="28"/>
      <c r="CF4" s="28" t="s">
        <v>23</v>
      </c>
    </row>
    <row r="5" spans="2:165" ht="3" customHeigh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 spans="2:165" s="2" customFormat="1" ht="23.25" customHeight="1" x14ac:dyDescent="0.25">
      <c r="B6" s="241" t="s">
        <v>0</v>
      </c>
      <c r="C6" s="241" t="s">
        <v>1</v>
      </c>
      <c r="D6" s="241"/>
      <c r="E6" s="241" t="s">
        <v>2</v>
      </c>
      <c r="F6" s="257" t="s">
        <v>16</v>
      </c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  <c r="U6" s="258"/>
      <c r="V6" s="258"/>
      <c r="W6" s="258"/>
      <c r="X6" s="258"/>
      <c r="Y6" s="258"/>
      <c r="Z6" s="258"/>
      <c r="AA6" s="258"/>
      <c r="AB6" s="258"/>
      <c r="AC6" s="258"/>
      <c r="AD6" s="258"/>
      <c r="AE6" s="258"/>
      <c r="AF6" s="258"/>
      <c r="AG6" s="258"/>
      <c r="AH6" s="258"/>
      <c r="AI6" s="258"/>
      <c r="AJ6" s="258"/>
      <c r="AK6" s="258"/>
      <c r="AL6" s="258"/>
      <c r="AM6" s="258"/>
      <c r="AN6" s="258"/>
      <c r="AO6" s="258"/>
      <c r="AP6" s="258"/>
      <c r="AQ6" s="258"/>
      <c r="AR6" s="258"/>
      <c r="AS6" s="258"/>
      <c r="AT6" s="258"/>
      <c r="AU6" s="258"/>
      <c r="AV6" s="258"/>
      <c r="AW6" s="258"/>
      <c r="AX6" s="258"/>
      <c r="AY6" s="258"/>
      <c r="AZ6" s="258"/>
      <c r="BA6" s="258"/>
      <c r="BB6" s="258"/>
      <c r="BC6" s="258"/>
      <c r="BD6" s="258"/>
      <c r="BE6" s="258"/>
      <c r="BF6" s="258"/>
      <c r="BG6" s="258"/>
      <c r="BH6" s="258"/>
      <c r="BI6" s="258"/>
      <c r="BJ6" s="258"/>
      <c r="BK6" s="258"/>
      <c r="BL6" s="258"/>
      <c r="BM6" s="258"/>
      <c r="BN6" s="258"/>
      <c r="BO6" s="258"/>
      <c r="BP6" s="258"/>
      <c r="BQ6" s="258"/>
      <c r="BR6" s="258"/>
      <c r="BS6" s="258"/>
      <c r="BT6" s="258"/>
      <c r="BU6" s="258"/>
      <c r="BV6" s="258"/>
      <c r="BW6" s="258"/>
      <c r="BX6" s="258"/>
      <c r="BY6" s="258"/>
      <c r="BZ6" s="258"/>
      <c r="CA6" s="258"/>
      <c r="CB6" s="258"/>
      <c r="CC6" s="258"/>
      <c r="CD6" s="258"/>
      <c r="CE6" s="258"/>
      <c r="CF6" s="258"/>
      <c r="CG6" s="259"/>
      <c r="CT6" s="12"/>
      <c r="CU6" s="12"/>
      <c r="CV6" s="12"/>
      <c r="CW6" s="12"/>
      <c r="CX6" s="12"/>
      <c r="CY6" s="12"/>
    </row>
    <row r="7" spans="2:165" s="2" customFormat="1" ht="23.25" customHeight="1" x14ac:dyDescent="0.25">
      <c r="B7" s="241"/>
      <c r="C7" s="241"/>
      <c r="D7" s="241"/>
      <c r="E7" s="241"/>
      <c r="F7" s="104">
        <v>1</v>
      </c>
      <c r="G7" s="104">
        <f t="shared" ref="G7:N7" si="0">1+F7</f>
        <v>2</v>
      </c>
      <c r="H7" s="104">
        <f t="shared" si="0"/>
        <v>3</v>
      </c>
      <c r="I7" s="104">
        <f t="shared" si="0"/>
        <v>4</v>
      </c>
      <c r="J7" s="104">
        <f t="shared" si="0"/>
        <v>5</v>
      </c>
      <c r="K7" s="104">
        <f t="shared" si="0"/>
        <v>6</v>
      </c>
      <c r="L7" s="104">
        <f t="shared" si="0"/>
        <v>7</v>
      </c>
      <c r="M7" s="104">
        <f t="shared" si="0"/>
        <v>8</v>
      </c>
      <c r="N7" s="104">
        <f t="shared" si="0"/>
        <v>9</v>
      </c>
      <c r="O7" s="104">
        <f>1+M7</f>
        <v>9</v>
      </c>
      <c r="P7" s="104">
        <f t="shared" ref="P7:Y7" si="1">1+O7</f>
        <v>10</v>
      </c>
      <c r="Q7" s="104">
        <f t="shared" si="1"/>
        <v>11</v>
      </c>
      <c r="R7" s="104">
        <f t="shared" si="1"/>
        <v>12</v>
      </c>
      <c r="S7" s="104">
        <f t="shared" si="1"/>
        <v>13</v>
      </c>
      <c r="T7" s="104">
        <f t="shared" si="1"/>
        <v>14</v>
      </c>
      <c r="U7" s="104">
        <f t="shared" si="1"/>
        <v>15</v>
      </c>
      <c r="V7" s="104">
        <f t="shared" si="1"/>
        <v>16</v>
      </c>
      <c r="W7" s="104">
        <f t="shared" si="1"/>
        <v>17</v>
      </c>
      <c r="X7" s="104">
        <f t="shared" si="1"/>
        <v>18</v>
      </c>
      <c r="Y7" s="104">
        <f t="shared" si="1"/>
        <v>19</v>
      </c>
      <c r="Z7" s="104">
        <f t="shared" ref="Z7:AS7" si="2">1+Y7</f>
        <v>20</v>
      </c>
      <c r="AA7" s="104">
        <f t="shared" si="2"/>
        <v>21</v>
      </c>
      <c r="AB7" s="104">
        <f t="shared" si="2"/>
        <v>22</v>
      </c>
      <c r="AC7" s="104">
        <f t="shared" si="2"/>
        <v>23</v>
      </c>
      <c r="AD7" s="104">
        <f t="shared" si="2"/>
        <v>24</v>
      </c>
      <c r="AE7" s="63">
        <f t="shared" si="2"/>
        <v>25</v>
      </c>
      <c r="AF7" s="30">
        <f t="shared" si="2"/>
        <v>26</v>
      </c>
      <c r="AG7" s="30">
        <f t="shared" si="2"/>
        <v>27</v>
      </c>
      <c r="AH7" s="30">
        <f t="shared" si="2"/>
        <v>28</v>
      </c>
      <c r="AI7" s="30">
        <f t="shared" si="2"/>
        <v>29</v>
      </c>
      <c r="AJ7" s="30">
        <f t="shared" si="2"/>
        <v>30</v>
      </c>
      <c r="AK7" s="30">
        <f t="shared" si="2"/>
        <v>31</v>
      </c>
      <c r="AL7" s="30">
        <f t="shared" si="2"/>
        <v>32</v>
      </c>
      <c r="AM7" s="30">
        <f t="shared" si="2"/>
        <v>33</v>
      </c>
      <c r="AN7" s="30">
        <f t="shared" si="2"/>
        <v>34</v>
      </c>
      <c r="AO7" s="30">
        <f t="shared" si="2"/>
        <v>35</v>
      </c>
      <c r="AP7" s="30">
        <f t="shared" si="2"/>
        <v>36</v>
      </c>
      <c r="AQ7" s="30">
        <f t="shared" si="2"/>
        <v>37</v>
      </c>
      <c r="AR7" s="30">
        <f t="shared" si="2"/>
        <v>38</v>
      </c>
      <c r="AS7" s="30">
        <f t="shared" si="2"/>
        <v>39</v>
      </c>
      <c r="AT7" s="30">
        <f t="shared" ref="AT7:CG7" si="3">1+AS7</f>
        <v>40</v>
      </c>
      <c r="AU7" s="30">
        <f t="shared" si="3"/>
        <v>41</v>
      </c>
      <c r="AV7" s="30">
        <f t="shared" si="3"/>
        <v>42</v>
      </c>
      <c r="AW7" s="30">
        <f t="shared" si="3"/>
        <v>43</v>
      </c>
      <c r="AX7" s="30">
        <f t="shared" si="3"/>
        <v>44</v>
      </c>
      <c r="AY7" s="30">
        <f t="shared" si="3"/>
        <v>45</v>
      </c>
      <c r="AZ7" s="30">
        <f t="shared" si="3"/>
        <v>46</v>
      </c>
      <c r="BA7" s="30">
        <f t="shared" si="3"/>
        <v>47</v>
      </c>
      <c r="BB7" s="30">
        <f t="shared" si="3"/>
        <v>48</v>
      </c>
      <c r="BC7" s="30">
        <f t="shared" si="3"/>
        <v>49</v>
      </c>
      <c r="BD7" s="30">
        <f t="shared" si="3"/>
        <v>50</v>
      </c>
      <c r="BE7" s="30">
        <f t="shared" si="3"/>
        <v>51</v>
      </c>
      <c r="BF7" s="30">
        <f t="shared" si="3"/>
        <v>52</v>
      </c>
      <c r="BG7" s="30">
        <f t="shared" si="3"/>
        <v>53</v>
      </c>
      <c r="BH7" s="30">
        <f t="shared" si="3"/>
        <v>54</v>
      </c>
      <c r="BI7" s="30">
        <f t="shared" si="3"/>
        <v>55</v>
      </c>
      <c r="BJ7" s="30">
        <f t="shared" si="3"/>
        <v>56</v>
      </c>
      <c r="BK7" s="30">
        <f t="shared" si="3"/>
        <v>57</v>
      </c>
      <c r="BL7" s="30">
        <f t="shared" si="3"/>
        <v>58</v>
      </c>
      <c r="BM7" s="30">
        <f t="shared" si="3"/>
        <v>59</v>
      </c>
      <c r="BN7" s="30">
        <f t="shared" si="3"/>
        <v>60</v>
      </c>
      <c r="BO7" s="30">
        <f t="shared" si="3"/>
        <v>61</v>
      </c>
      <c r="BP7" s="30">
        <f t="shared" si="3"/>
        <v>62</v>
      </c>
      <c r="BQ7" s="30">
        <f t="shared" si="3"/>
        <v>63</v>
      </c>
      <c r="BR7" s="30">
        <f t="shared" si="3"/>
        <v>64</v>
      </c>
      <c r="BS7" s="30">
        <f t="shared" si="3"/>
        <v>65</v>
      </c>
      <c r="BT7" s="30">
        <f t="shared" si="3"/>
        <v>66</v>
      </c>
      <c r="BU7" s="30">
        <f t="shared" si="3"/>
        <v>67</v>
      </c>
      <c r="BV7" s="30">
        <f t="shared" si="3"/>
        <v>68</v>
      </c>
      <c r="BW7" s="30">
        <f t="shared" si="3"/>
        <v>69</v>
      </c>
      <c r="BX7" s="30">
        <f t="shared" si="3"/>
        <v>70</v>
      </c>
      <c r="BY7" s="30">
        <f t="shared" si="3"/>
        <v>71</v>
      </c>
      <c r="BZ7" s="30">
        <f t="shared" si="3"/>
        <v>72</v>
      </c>
      <c r="CA7" s="30">
        <f t="shared" si="3"/>
        <v>73</v>
      </c>
      <c r="CB7" s="30">
        <f t="shared" si="3"/>
        <v>74</v>
      </c>
      <c r="CC7" s="30">
        <f t="shared" si="3"/>
        <v>75</v>
      </c>
      <c r="CD7" s="30">
        <f t="shared" si="3"/>
        <v>76</v>
      </c>
      <c r="CE7" s="30">
        <f t="shared" si="3"/>
        <v>77</v>
      </c>
      <c r="CF7" s="30">
        <f t="shared" si="3"/>
        <v>78</v>
      </c>
      <c r="CG7" s="30">
        <f t="shared" si="3"/>
        <v>79</v>
      </c>
      <c r="CT7"/>
      <c r="CU7"/>
      <c r="CV7"/>
      <c r="CW7"/>
      <c r="CX7"/>
      <c r="CY7"/>
    </row>
    <row r="8" spans="2:165" s="2" customFormat="1" ht="23.25" customHeight="1" x14ac:dyDescent="0.25">
      <c r="B8" s="241"/>
      <c r="C8" s="92" t="s">
        <v>4</v>
      </c>
      <c r="D8" s="92" t="s">
        <v>5</v>
      </c>
      <c r="E8" s="241"/>
      <c r="F8" s="39">
        <v>46063</v>
      </c>
      <c r="G8" s="39">
        <v>46064</v>
      </c>
      <c r="H8" s="39">
        <v>46065</v>
      </c>
      <c r="I8" s="39">
        <v>46066</v>
      </c>
      <c r="J8" s="39">
        <v>46069</v>
      </c>
      <c r="K8" s="39">
        <v>46071</v>
      </c>
      <c r="L8" s="39">
        <v>46072</v>
      </c>
      <c r="M8" s="39">
        <v>46073</v>
      </c>
      <c r="N8" s="39">
        <v>46074</v>
      </c>
      <c r="O8" s="39">
        <v>46076</v>
      </c>
      <c r="P8" s="39">
        <v>46077</v>
      </c>
      <c r="Q8" s="39">
        <v>46078</v>
      </c>
      <c r="R8" s="39">
        <v>46079</v>
      </c>
      <c r="S8" s="39">
        <v>46080</v>
      </c>
      <c r="T8" s="39">
        <v>46081</v>
      </c>
      <c r="U8" s="39">
        <v>46083</v>
      </c>
      <c r="V8" s="39">
        <v>46084</v>
      </c>
      <c r="W8" s="39">
        <v>46085</v>
      </c>
      <c r="X8" s="39">
        <v>46086</v>
      </c>
      <c r="Y8" s="39">
        <v>46087</v>
      </c>
      <c r="Z8" s="39">
        <v>46090</v>
      </c>
      <c r="AA8" s="39">
        <v>46091</v>
      </c>
      <c r="AB8" s="39">
        <v>46092</v>
      </c>
      <c r="AC8" s="39">
        <v>46093</v>
      </c>
      <c r="AD8" s="39">
        <v>46094</v>
      </c>
      <c r="AE8" s="34">
        <v>46097</v>
      </c>
      <c r="AF8" s="34">
        <v>46098</v>
      </c>
      <c r="AG8" s="34">
        <v>46099</v>
      </c>
      <c r="AH8" s="34">
        <v>46106</v>
      </c>
      <c r="AI8" s="34">
        <v>46107</v>
      </c>
      <c r="AJ8" s="34">
        <v>46108</v>
      </c>
      <c r="AK8" s="34">
        <v>46109</v>
      </c>
      <c r="AL8" s="34">
        <v>46111</v>
      </c>
      <c r="AM8" s="34">
        <v>46112</v>
      </c>
      <c r="AN8" s="34">
        <v>46113</v>
      </c>
      <c r="AO8" s="34">
        <v>46114</v>
      </c>
      <c r="AP8" s="34">
        <v>46115</v>
      </c>
      <c r="AQ8" s="34">
        <v>46116</v>
      </c>
      <c r="AR8" s="34">
        <v>46118</v>
      </c>
      <c r="AS8" s="34">
        <v>46119</v>
      </c>
      <c r="AT8" s="34">
        <v>46120</v>
      </c>
      <c r="AU8" s="34">
        <v>46121</v>
      </c>
      <c r="AV8" s="34">
        <v>46122</v>
      </c>
      <c r="AW8" s="34">
        <v>46125</v>
      </c>
      <c r="AX8" s="34">
        <v>46126</v>
      </c>
      <c r="AY8" s="34">
        <v>46127</v>
      </c>
      <c r="AZ8" s="34">
        <v>46128</v>
      </c>
      <c r="BA8" s="34">
        <v>46129</v>
      </c>
      <c r="BB8" s="34">
        <v>46130</v>
      </c>
      <c r="BC8" s="34">
        <v>46132</v>
      </c>
      <c r="BD8" s="34">
        <v>46133</v>
      </c>
      <c r="BE8" s="34">
        <v>46134</v>
      </c>
      <c r="BF8" s="34">
        <v>46135</v>
      </c>
      <c r="BG8" s="34">
        <v>46136</v>
      </c>
      <c r="BH8" s="34">
        <v>46137</v>
      </c>
      <c r="BI8" s="34">
        <v>46138</v>
      </c>
      <c r="BJ8" s="34">
        <v>46139</v>
      </c>
      <c r="BK8" s="34">
        <v>46140</v>
      </c>
      <c r="BL8" s="34">
        <v>46141</v>
      </c>
      <c r="BM8" s="34">
        <v>46142</v>
      </c>
      <c r="BN8" s="34">
        <v>46143</v>
      </c>
      <c r="BO8" s="34">
        <v>46144</v>
      </c>
      <c r="BP8" s="34">
        <v>46145</v>
      </c>
      <c r="BQ8" s="34">
        <v>46146</v>
      </c>
      <c r="BR8" s="34">
        <v>46147</v>
      </c>
      <c r="BS8" s="34">
        <v>46148</v>
      </c>
      <c r="BT8" s="34">
        <v>46149</v>
      </c>
      <c r="BU8" s="34">
        <v>46150</v>
      </c>
      <c r="BV8" s="34">
        <v>46151</v>
      </c>
      <c r="BW8" s="34">
        <v>46152</v>
      </c>
      <c r="BX8" s="34">
        <v>46153</v>
      </c>
      <c r="BY8" s="34">
        <v>46154</v>
      </c>
      <c r="BZ8" s="34">
        <v>46155</v>
      </c>
      <c r="CA8" s="34">
        <v>46156</v>
      </c>
      <c r="CB8" s="34">
        <v>46157</v>
      </c>
      <c r="CC8" s="34">
        <v>46158</v>
      </c>
      <c r="CD8" s="34">
        <v>46159</v>
      </c>
      <c r="CE8" s="34">
        <v>46160</v>
      </c>
      <c r="CF8" s="34">
        <v>46161</v>
      </c>
      <c r="CG8" s="34">
        <v>46162</v>
      </c>
      <c r="CT8" s="12"/>
      <c r="CU8" s="12"/>
      <c r="CV8"/>
      <c r="CW8"/>
      <c r="CX8"/>
      <c r="CY8"/>
    </row>
    <row r="9" spans="2:165" ht="23.25" customHeight="1" x14ac:dyDescent="0.25">
      <c r="B9" s="262" t="s">
        <v>8</v>
      </c>
      <c r="C9" s="262"/>
      <c r="D9" s="262"/>
      <c r="E9" s="93" t="s">
        <v>10</v>
      </c>
      <c r="F9" s="57">
        <v>18</v>
      </c>
      <c r="G9" s="57">
        <v>36</v>
      </c>
      <c r="H9" s="58">
        <v>48</v>
      </c>
      <c r="I9" s="58">
        <v>114</v>
      </c>
      <c r="J9" s="58">
        <v>128</v>
      </c>
      <c r="K9" s="58">
        <v>300</v>
      </c>
      <c r="L9" s="96">
        <v>300</v>
      </c>
      <c r="M9" s="60">
        <v>204</v>
      </c>
      <c r="N9" s="60"/>
      <c r="O9" s="60">
        <v>192</v>
      </c>
      <c r="P9" s="60">
        <v>240</v>
      </c>
      <c r="Q9" s="60">
        <v>300</v>
      </c>
      <c r="R9" s="60">
        <v>300</v>
      </c>
      <c r="S9" s="58">
        <v>300</v>
      </c>
      <c r="T9" s="58">
        <v>222</v>
      </c>
      <c r="U9" s="60">
        <v>372</v>
      </c>
      <c r="V9" s="58">
        <v>402</v>
      </c>
      <c r="W9" s="60">
        <v>318</v>
      </c>
      <c r="X9" s="60">
        <v>300</v>
      </c>
      <c r="Y9" s="60">
        <v>246</v>
      </c>
      <c r="Z9" s="57">
        <v>258</v>
      </c>
      <c r="AA9" s="57">
        <v>72</v>
      </c>
      <c r="AB9" s="58">
        <v>66</v>
      </c>
      <c r="AC9" s="58">
        <v>30</v>
      </c>
      <c r="AD9" s="58">
        <v>54</v>
      </c>
      <c r="AE9" s="95">
        <v>129</v>
      </c>
      <c r="AF9" s="31">
        <v>75</v>
      </c>
      <c r="AG9" s="10">
        <v>186</v>
      </c>
      <c r="AH9" s="10">
        <v>108</v>
      </c>
      <c r="AI9" s="10">
        <v>126</v>
      </c>
      <c r="AJ9" s="10">
        <v>204</v>
      </c>
      <c r="AK9" s="10">
        <v>444</v>
      </c>
      <c r="AL9" s="10">
        <v>120</v>
      </c>
      <c r="AM9" s="9">
        <v>48</v>
      </c>
      <c r="AN9" s="9">
        <v>54</v>
      </c>
      <c r="AO9" s="10">
        <v>162</v>
      </c>
      <c r="AP9" s="9">
        <v>60</v>
      </c>
      <c r="AQ9" s="10">
        <v>0</v>
      </c>
      <c r="AR9" s="10">
        <v>168</v>
      </c>
      <c r="AS9" s="10">
        <v>138</v>
      </c>
      <c r="AT9" s="57">
        <v>162</v>
      </c>
      <c r="AU9" s="57">
        <v>222</v>
      </c>
      <c r="AV9" s="58">
        <v>306</v>
      </c>
      <c r="AW9" s="58">
        <v>162</v>
      </c>
      <c r="AX9" s="58">
        <v>168</v>
      </c>
      <c r="AY9" s="58">
        <v>312</v>
      </c>
      <c r="AZ9" s="96">
        <v>186</v>
      </c>
      <c r="BA9" s="60">
        <v>306</v>
      </c>
      <c r="BB9" s="60">
        <v>0</v>
      </c>
      <c r="BC9" s="60">
        <v>288</v>
      </c>
      <c r="BD9" s="60">
        <v>450</v>
      </c>
      <c r="BE9" s="60"/>
      <c r="BF9" s="60"/>
      <c r="BG9" s="58"/>
      <c r="BH9" s="58"/>
      <c r="BI9" s="60"/>
      <c r="BJ9" s="58"/>
      <c r="BK9" s="60"/>
      <c r="BL9" s="60"/>
      <c r="BM9" s="60"/>
      <c r="BN9" s="57"/>
      <c r="BO9" s="57"/>
      <c r="BP9" s="58"/>
      <c r="BQ9" s="58"/>
      <c r="BR9" s="58"/>
      <c r="BS9" s="95"/>
      <c r="BT9" s="31"/>
      <c r="BU9" s="10"/>
      <c r="BV9" s="10"/>
      <c r="BW9" s="10"/>
      <c r="BX9" s="10"/>
      <c r="BY9" s="10"/>
      <c r="BZ9" s="10"/>
      <c r="CA9" s="9"/>
      <c r="CB9" s="9"/>
      <c r="CC9" s="10"/>
      <c r="CD9" s="9"/>
      <c r="CE9" s="10"/>
      <c r="CF9" s="10"/>
      <c r="CG9" s="10"/>
      <c r="CJ9" t="s">
        <v>15</v>
      </c>
    </row>
    <row r="10" spans="2:165" ht="23.25" customHeight="1" x14ac:dyDescent="0.25">
      <c r="B10" s="262"/>
      <c r="C10" s="262"/>
      <c r="D10" s="262"/>
      <c r="E10" s="93" t="s">
        <v>6</v>
      </c>
      <c r="F10" s="50">
        <f t="shared" ref="F10:Y10" si="4">F9/8</f>
        <v>2.25</v>
      </c>
      <c r="G10" s="50">
        <f t="shared" si="4"/>
        <v>4.5</v>
      </c>
      <c r="H10" s="50">
        <f t="shared" si="4"/>
        <v>6</v>
      </c>
      <c r="I10" s="50">
        <f t="shared" si="4"/>
        <v>14.25</v>
      </c>
      <c r="J10" s="50">
        <f t="shared" si="4"/>
        <v>16</v>
      </c>
      <c r="K10" s="50">
        <f t="shared" si="4"/>
        <v>37.5</v>
      </c>
      <c r="L10" s="50">
        <f>L9/9</f>
        <v>33.333333333333336</v>
      </c>
      <c r="M10" s="50">
        <f t="shared" si="4"/>
        <v>25.5</v>
      </c>
      <c r="N10" s="50">
        <f t="shared" si="4"/>
        <v>0</v>
      </c>
      <c r="O10" s="50">
        <f t="shared" si="4"/>
        <v>24</v>
      </c>
      <c r="P10" s="50">
        <f t="shared" si="4"/>
        <v>30</v>
      </c>
      <c r="Q10" s="50">
        <f t="shared" si="4"/>
        <v>37.5</v>
      </c>
      <c r="R10" s="50">
        <f t="shared" si="4"/>
        <v>37.5</v>
      </c>
      <c r="S10" s="50">
        <f t="shared" si="4"/>
        <v>37.5</v>
      </c>
      <c r="T10" s="50">
        <f>T9/7</f>
        <v>31.714285714285715</v>
      </c>
      <c r="U10" s="50">
        <f t="shared" si="4"/>
        <v>46.5</v>
      </c>
      <c r="V10" s="50">
        <f t="shared" si="4"/>
        <v>50.25</v>
      </c>
      <c r="W10" s="50">
        <f t="shared" si="4"/>
        <v>39.75</v>
      </c>
      <c r="X10" s="50">
        <f t="shared" si="4"/>
        <v>37.5</v>
      </c>
      <c r="Y10" s="50">
        <f t="shared" si="4"/>
        <v>30.75</v>
      </c>
      <c r="Z10" s="50">
        <f t="shared" ref="Z10:AY10" si="5">Z9/8</f>
        <v>32.25</v>
      </c>
      <c r="AA10" s="50">
        <f t="shared" si="5"/>
        <v>9</v>
      </c>
      <c r="AB10" s="50">
        <f t="shared" si="5"/>
        <v>8.25</v>
      </c>
      <c r="AC10" s="50">
        <f t="shared" si="5"/>
        <v>3.75</v>
      </c>
      <c r="AD10" s="50">
        <f t="shared" si="5"/>
        <v>6.75</v>
      </c>
      <c r="AE10" s="35">
        <f t="shared" si="5"/>
        <v>16.125</v>
      </c>
      <c r="AF10" s="35">
        <f t="shared" si="5"/>
        <v>9.375</v>
      </c>
      <c r="AG10" s="35">
        <f t="shared" si="5"/>
        <v>23.25</v>
      </c>
      <c r="AH10" s="35">
        <f t="shared" si="5"/>
        <v>13.5</v>
      </c>
      <c r="AI10" s="35">
        <f t="shared" si="5"/>
        <v>15.75</v>
      </c>
      <c r="AJ10" s="35">
        <f t="shared" si="5"/>
        <v>25.5</v>
      </c>
      <c r="AK10" s="35">
        <f>AK9/5</f>
        <v>88.8</v>
      </c>
      <c r="AL10" s="35">
        <f t="shared" si="5"/>
        <v>15</v>
      </c>
      <c r="AM10" s="35">
        <f t="shared" si="5"/>
        <v>6</v>
      </c>
      <c r="AN10" s="35">
        <f t="shared" si="5"/>
        <v>6.75</v>
      </c>
      <c r="AO10" s="35">
        <f t="shared" si="5"/>
        <v>20.25</v>
      </c>
      <c r="AP10" s="35">
        <f t="shared" si="5"/>
        <v>7.5</v>
      </c>
      <c r="AQ10" s="35">
        <f t="shared" si="5"/>
        <v>0</v>
      </c>
      <c r="AR10" s="35">
        <f t="shared" si="5"/>
        <v>21</v>
      </c>
      <c r="AS10" s="35">
        <f t="shared" si="5"/>
        <v>17.25</v>
      </c>
      <c r="AT10" s="50">
        <f t="shared" si="5"/>
        <v>20.25</v>
      </c>
      <c r="AU10" s="50">
        <f t="shared" si="5"/>
        <v>27.75</v>
      </c>
      <c r="AV10" s="50">
        <f t="shared" si="5"/>
        <v>38.25</v>
      </c>
      <c r="AW10" s="50">
        <f t="shared" si="5"/>
        <v>20.25</v>
      </c>
      <c r="AX10" s="50">
        <f t="shared" si="5"/>
        <v>21</v>
      </c>
      <c r="AY10" s="50">
        <f t="shared" si="5"/>
        <v>39</v>
      </c>
      <c r="AZ10" s="50">
        <f>AZ9/9</f>
        <v>20.666666666666668</v>
      </c>
      <c r="BA10" s="50">
        <f t="shared" ref="BA10:BG10" si="6">BA9/8</f>
        <v>38.25</v>
      </c>
      <c r="BB10" s="50">
        <f t="shared" si="6"/>
        <v>0</v>
      </c>
      <c r="BC10" s="50">
        <f t="shared" si="6"/>
        <v>36</v>
      </c>
      <c r="BD10" s="50">
        <f t="shared" si="6"/>
        <v>56.25</v>
      </c>
      <c r="BE10" s="50">
        <f t="shared" si="6"/>
        <v>0</v>
      </c>
      <c r="BF10" s="50">
        <f t="shared" si="6"/>
        <v>0</v>
      </c>
      <c r="BG10" s="50">
        <f t="shared" si="6"/>
        <v>0</v>
      </c>
      <c r="BH10" s="50">
        <f>BH9/7</f>
        <v>0</v>
      </c>
      <c r="BI10" s="50">
        <f t="shared" ref="BI10:BX10" si="7">BI9/8</f>
        <v>0</v>
      </c>
      <c r="BJ10" s="50">
        <f t="shared" si="7"/>
        <v>0</v>
      </c>
      <c r="BK10" s="50">
        <f t="shared" si="7"/>
        <v>0</v>
      </c>
      <c r="BL10" s="50">
        <f t="shared" si="7"/>
        <v>0</v>
      </c>
      <c r="BM10" s="50">
        <f t="shared" si="7"/>
        <v>0</v>
      </c>
      <c r="BN10" s="50">
        <f t="shared" si="7"/>
        <v>0</v>
      </c>
      <c r="BO10" s="50">
        <f t="shared" si="7"/>
        <v>0</v>
      </c>
      <c r="BP10" s="50">
        <f t="shared" si="7"/>
        <v>0</v>
      </c>
      <c r="BQ10" s="50">
        <f t="shared" si="7"/>
        <v>0</v>
      </c>
      <c r="BR10" s="50">
        <f t="shared" si="7"/>
        <v>0</v>
      </c>
      <c r="BS10" s="35">
        <f t="shared" si="7"/>
        <v>0</v>
      </c>
      <c r="BT10" s="35">
        <f t="shared" si="7"/>
        <v>0</v>
      </c>
      <c r="BU10" s="35">
        <f t="shared" si="7"/>
        <v>0</v>
      </c>
      <c r="BV10" s="35">
        <f t="shared" si="7"/>
        <v>0</v>
      </c>
      <c r="BW10" s="35">
        <f t="shared" si="7"/>
        <v>0</v>
      </c>
      <c r="BX10" s="35">
        <f t="shared" si="7"/>
        <v>0</v>
      </c>
      <c r="BY10" s="35">
        <f>BY9/5</f>
        <v>0</v>
      </c>
      <c r="BZ10" s="35">
        <f t="shared" ref="BZ10:CG10" si="8">BZ9/8</f>
        <v>0</v>
      </c>
      <c r="CA10" s="35">
        <f t="shared" si="8"/>
        <v>0</v>
      </c>
      <c r="CB10" s="35">
        <f t="shared" si="8"/>
        <v>0</v>
      </c>
      <c r="CC10" s="35">
        <f t="shared" si="8"/>
        <v>0</v>
      </c>
      <c r="CD10" s="35">
        <f t="shared" si="8"/>
        <v>0</v>
      </c>
      <c r="CE10" s="35">
        <f t="shared" si="8"/>
        <v>0</v>
      </c>
      <c r="CF10" s="35">
        <f t="shared" si="8"/>
        <v>0</v>
      </c>
      <c r="CG10" s="35">
        <f t="shared" si="8"/>
        <v>0</v>
      </c>
      <c r="CU10" s="12"/>
    </row>
    <row r="11" spans="2:165" s="12" customFormat="1" ht="23.25" customHeight="1" x14ac:dyDescent="0.25">
      <c r="B11" s="302" t="s">
        <v>11</v>
      </c>
      <c r="C11" s="321"/>
      <c r="D11" s="321"/>
      <c r="E11" s="321"/>
      <c r="F11" s="62">
        <v>6</v>
      </c>
      <c r="G11" s="62">
        <v>6</v>
      </c>
      <c r="H11" s="62">
        <v>6</v>
      </c>
      <c r="I11" s="62">
        <v>6</v>
      </c>
      <c r="J11" s="62">
        <v>6</v>
      </c>
      <c r="K11" s="62">
        <v>12</v>
      </c>
      <c r="L11" s="62">
        <v>12</v>
      </c>
      <c r="M11" s="62">
        <v>12</v>
      </c>
      <c r="N11" s="62">
        <v>12</v>
      </c>
      <c r="O11" s="62">
        <v>12</v>
      </c>
      <c r="P11" s="62">
        <v>24</v>
      </c>
      <c r="Q11" s="62">
        <v>24</v>
      </c>
      <c r="R11" s="62">
        <v>24</v>
      </c>
      <c r="S11" s="62">
        <v>24</v>
      </c>
      <c r="T11" s="62">
        <v>24</v>
      </c>
      <c r="U11" s="62">
        <v>36</v>
      </c>
      <c r="V11" s="62">
        <v>36</v>
      </c>
      <c r="W11" s="62">
        <v>36</v>
      </c>
      <c r="X11" s="62">
        <v>36</v>
      </c>
      <c r="Y11" s="62">
        <v>36</v>
      </c>
      <c r="Z11" s="62">
        <v>48</v>
      </c>
      <c r="AA11" s="62">
        <v>48</v>
      </c>
      <c r="AB11" s="62">
        <v>48</v>
      </c>
      <c r="AC11" s="62">
        <v>48</v>
      </c>
      <c r="AD11" s="62">
        <v>48</v>
      </c>
      <c r="AE11" s="94">
        <v>60</v>
      </c>
      <c r="AF11" s="5">
        <v>60</v>
      </c>
      <c r="AG11" s="5">
        <v>60</v>
      </c>
      <c r="AH11" s="5">
        <v>60</v>
      </c>
      <c r="AI11" s="5">
        <v>60</v>
      </c>
      <c r="AJ11" s="5">
        <v>72</v>
      </c>
      <c r="AK11" s="5">
        <v>72</v>
      </c>
      <c r="AL11" s="5">
        <v>72</v>
      </c>
      <c r="AM11" s="5">
        <v>72</v>
      </c>
      <c r="AN11" s="5">
        <v>72</v>
      </c>
      <c r="AO11" s="5">
        <v>84</v>
      </c>
      <c r="AP11" s="5">
        <v>84</v>
      </c>
      <c r="AQ11" s="5">
        <v>84</v>
      </c>
      <c r="AR11" s="5">
        <v>84</v>
      </c>
      <c r="AS11" s="5">
        <v>84</v>
      </c>
      <c r="AT11" s="117">
        <v>96</v>
      </c>
      <c r="AU11" s="117">
        <v>96</v>
      </c>
      <c r="AV11" s="117">
        <v>96</v>
      </c>
      <c r="AW11" s="117">
        <v>96</v>
      </c>
      <c r="AX11" s="117">
        <v>96</v>
      </c>
      <c r="AY11" s="117">
        <v>108</v>
      </c>
      <c r="AZ11" s="117">
        <v>108</v>
      </c>
      <c r="BA11" s="117">
        <v>108</v>
      </c>
      <c r="BB11" s="117">
        <v>108</v>
      </c>
      <c r="BC11" s="117">
        <v>108</v>
      </c>
      <c r="BD11" s="117">
        <v>24</v>
      </c>
      <c r="BE11" s="117">
        <v>24</v>
      </c>
      <c r="BF11" s="117">
        <v>24</v>
      </c>
      <c r="BG11" s="117">
        <v>24</v>
      </c>
      <c r="BH11" s="117">
        <v>24</v>
      </c>
      <c r="BI11" s="117">
        <v>36</v>
      </c>
      <c r="BJ11" s="117">
        <v>36</v>
      </c>
      <c r="BK11" s="117">
        <v>36</v>
      </c>
      <c r="BL11" s="117">
        <v>36</v>
      </c>
      <c r="BM11" s="117">
        <v>36</v>
      </c>
      <c r="BN11" s="117">
        <v>48</v>
      </c>
      <c r="BO11" s="117">
        <v>48</v>
      </c>
      <c r="BP11" s="117">
        <v>48</v>
      </c>
      <c r="BQ11" s="117">
        <v>48</v>
      </c>
      <c r="BR11" s="117">
        <v>48</v>
      </c>
      <c r="BS11" s="116">
        <v>60</v>
      </c>
      <c r="BT11" s="5">
        <v>60</v>
      </c>
      <c r="BU11" s="5">
        <v>60</v>
      </c>
      <c r="BV11" s="5">
        <v>60</v>
      </c>
      <c r="BW11" s="5">
        <v>60</v>
      </c>
      <c r="BX11" s="5">
        <v>72</v>
      </c>
      <c r="BY11" s="5">
        <v>72</v>
      </c>
      <c r="BZ11" s="5">
        <v>72</v>
      </c>
      <c r="CA11" s="5">
        <v>72</v>
      </c>
      <c r="CB11" s="5">
        <v>72</v>
      </c>
      <c r="CC11" s="5">
        <v>84</v>
      </c>
      <c r="CD11" s="5">
        <v>84</v>
      </c>
      <c r="CE11" s="5">
        <v>84</v>
      </c>
      <c r="CF11" s="5">
        <v>84</v>
      </c>
      <c r="CG11" s="5">
        <v>84</v>
      </c>
      <c r="CH11"/>
      <c r="CI11"/>
      <c r="CJ11"/>
      <c r="CK11"/>
      <c r="CL11"/>
      <c r="CM11"/>
      <c r="CN11"/>
      <c r="CO11"/>
      <c r="CP11"/>
      <c r="CT11"/>
      <c r="CU11"/>
      <c r="CV11"/>
      <c r="CW11"/>
      <c r="CX11"/>
      <c r="CY11"/>
    </row>
    <row r="12" spans="2:165" ht="23.25" customHeight="1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 t="s">
        <v>15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 t="s">
        <v>15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 t="s">
        <v>15</v>
      </c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 t="s">
        <v>15</v>
      </c>
      <c r="CF12" s="1"/>
      <c r="CG12" s="1"/>
    </row>
    <row r="13" spans="2:165" s="12" customFormat="1" ht="23.25" customHeight="1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T13"/>
      <c r="CU13"/>
      <c r="CV13"/>
      <c r="CW13"/>
      <c r="CX13"/>
      <c r="CY13"/>
    </row>
    <row r="14" spans="2:165" ht="23.25" customHeigh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2:165" ht="16.5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L15" t="s">
        <v>15</v>
      </c>
    </row>
    <row r="16" spans="2:165" ht="16.5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spans="2:85" ht="16.5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 spans="2:85" ht="16.5" customHeight="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 spans="2:85" ht="16.5" customHeight="1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 spans="2:85" ht="16.5" customHeight="1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 spans="2:85" ht="16.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 spans="2:85" ht="16.5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spans="2:85" ht="15" customHeight="1" x14ac:dyDescent="0.25"/>
    <row r="28" spans="2:85" ht="16.5" customHeight="1" x14ac:dyDescent="0.25"/>
    <row r="29" spans="2:85" ht="16.5" customHeight="1" x14ac:dyDescent="0.25"/>
    <row r="30" spans="2:85" ht="16.5" customHeight="1" x14ac:dyDescent="0.25"/>
    <row r="31" spans="2:85" ht="16.5" customHeight="1" x14ac:dyDescent="0.25"/>
    <row r="32" spans="2:85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63" ht="15" customHeight="1" x14ac:dyDescent="0.25"/>
    <row r="64" ht="15" customHeight="1" x14ac:dyDescent="0.25"/>
    <row r="65" ht="15" customHeight="1" x14ac:dyDescent="0.25"/>
    <row r="67" ht="15" customHeight="1" x14ac:dyDescent="0.25"/>
    <row r="68" ht="15" customHeight="1" x14ac:dyDescent="0.25"/>
    <row r="76" ht="15" customHeight="1" x14ac:dyDescent="0.25"/>
    <row r="77" ht="15" customHeight="1" x14ac:dyDescent="0.25"/>
    <row r="78" ht="15" customHeight="1" x14ac:dyDescent="0.25"/>
    <row r="80" ht="15" customHeight="1" x14ac:dyDescent="0.25"/>
    <row r="81" ht="15" customHeight="1" x14ac:dyDescent="0.25"/>
    <row r="88" ht="15.75" customHeight="1" x14ac:dyDescent="0.25"/>
  </sheetData>
  <mergeCells count="10">
    <mergeCell ref="F6:CG6"/>
    <mergeCell ref="B11:E11"/>
    <mergeCell ref="B1:X2"/>
    <mergeCell ref="B6:B8"/>
    <mergeCell ref="C6:D7"/>
    <mergeCell ref="E6:E8"/>
    <mergeCell ref="B9:B10"/>
    <mergeCell ref="C9:C10"/>
    <mergeCell ref="D9:D10"/>
    <mergeCell ref="B4:E4"/>
  </mergeCells>
  <conditionalFormatting sqref="F9 L9:X9">
    <cfRule type="containsBlanks" dxfId="35" priority="185">
      <formula>LEN(TRIM(F9))=0</formula>
    </cfRule>
  </conditionalFormatting>
  <conditionalFormatting sqref="Q9">
    <cfRule type="containsBlanks" dxfId="34" priority="183">
      <formula>LEN(TRIM(Q9))=0</formula>
    </cfRule>
  </conditionalFormatting>
  <conditionalFormatting sqref="K9">
    <cfRule type="containsBlanks" dxfId="33" priority="182">
      <formula>LEN(TRIM(K9))=0</formula>
    </cfRule>
  </conditionalFormatting>
  <conditionalFormatting sqref="G9">
    <cfRule type="containsBlanks" dxfId="32" priority="181">
      <formula>LEN(TRIM(G9))=0</formula>
    </cfRule>
  </conditionalFormatting>
  <conditionalFormatting sqref="J9">
    <cfRule type="containsBlanks" dxfId="31" priority="180">
      <formula>LEN(TRIM(J9))=0</formula>
    </cfRule>
  </conditionalFormatting>
  <conditionalFormatting sqref="I9">
    <cfRule type="containsBlanks" dxfId="30" priority="179">
      <formula>LEN(TRIM(I9))=0</formula>
    </cfRule>
  </conditionalFormatting>
  <conditionalFormatting sqref="H9">
    <cfRule type="containsBlanks" dxfId="29" priority="178">
      <formula>LEN(TRIM(H9))=0</formula>
    </cfRule>
  </conditionalFormatting>
  <conditionalFormatting sqref="Y9">
    <cfRule type="containsBlanks" dxfId="28" priority="169">
      <formula>LEN(TRIM(Y9))=0</formula>
    </cfRule>
  </conditionalFormatting>
  <conditionalFormatting sqref="R9">
    <cfRule type="containsBlanks" dxfId="27" priority="168">
      <formula>LEN(TRIM(R9))=0</formula>
    </cfRule>
  </conditionalFormatting>
  <conditionalFormatting sqref="Z9 AF9:AR9">
    <cfRule type="containsBlanks" dxfId="26" priority="27">
      <formula>LEN(TRIM(Z9))=0</formula>
    </cfRule>
  </conditionalFormatting>
  <conditionalFormatting sqref="AK9">
    <cfRule type="containsBlanks" dxfId="25" priority="26">
      <formula>LEN(TRIM(AK9))=0</formula>
    </cfRule>
  </conditionalFormatting>
  <conditionalFormatting sqref="AE9">
    <cfRule type="containsBlanks" dxfId="24" priority="25">
      <formula>LEN(TRIM(AE9))=0</formula>
    </cfRule>
  </conditionalFormatting>
  <conditionalFormatting sqref="AA9">
    <cfRule type="containsBlanks" dxfId="23" priority="24">
      <formula>LEN(TRIM(AA9))=0</formula>
    </cfRule>
  </conditionalFormatting>
  <conditionalFormatting sqref="AD9">
    <cfRule type="containsBlanks" dxfId="22" priority="23">
      <formula>LEN(TRIM(AD9))=0</formula>
    </cfRule>
  </conditionalFormatting>
  <conditionalFormatting sqref="AC9">
    <cfRule type="containsBlanks" dxfId="21" priority="22">
      <formula>LEN(TRIM(AC9))=0</formula>
    </cfRule>
  </conditionalFormatting>
  <conditionalFormatting sqref="AB9">
    <cfRule type="containsBlanks" dxfId="20" priority="21">
      <formula>LEN(TRIM(AB9))=0</formula>
    </cfRule>
  </conditionalFormatting>
  <conditionalFormatting sqref="AS9">
    <cfRule type="containsBlanks" dxfId="19" priority="20">
      <formula>LEN(TRIM(AS9))=0</formula>
    </cfRule>
  </conditionalFormatting>
  <conditionalFormatting sqref="AL9">
    <cfRule type="containsBlanks" dxfId="18" priority="19">
      <formula>LEN(TRIM(AL9))=0</formula>
    </cfRule>
  </conditionalFormatting>
  <conditionalFormatting sqref="AT9 AZ9:BL9">
    <cfRule type="containsBlanks" dxfId="17" priority="18">
      <formula>LEN(TRIM(AT9))=0</formula>
    </cfRule>
  </conditionalFormatting>
  <conditionalFormatting sqref="BE9">
    <cfRule type="containsBlanks" dxfId="16" priority="17">
      <formula>LEN(TRIM(BE9))=0</formula>
    </cfRule>
  </conditionalFormatting>
  <conditionalFormatting sqref="AY9">
    <cfRule type="containsBlanks" dxfId="15" priority="16">
      <formula>LEN(TRIM(AY9))=0</formula>
    </cfRule>
  </conditionalFormatting>
  <conditionalFormatting sqref="AU9">
    <cfRule type="containsBlanks" dxfId="14" priority="15">
      <formula>LEN(TRIM(AU9))=0</formula>
    </cfRule>
  </conditionalFormatting>
  <conditionalFormatting sqref="AX9">
    <cfRule type="containsBlanks" dxfId="13" priority="14">
      <formula>LEN(TRIM(AX9))=0</formula>
    </cfRule>
  </conditionalFormatting>
  <conditionalFormatting sqref="AW9">
    <cfRule type="containsBlanks" dxfId="12" priority="13">
      <formula>LEN(TRIM(AW9))=0</formula>
    </cfRule>
  </conditionalFormatting>
  <conditionalFormatting sqref="AV9">
    <cfRule type="containsBlanks" dxfId="11" priority="12">
      <formula>LEN(TRIM(AV9))=0</formula>
    </cfRule>
  </conditionalFormatting>
  <conditionalFormatting sqref="BM9">
    <cfRule type="containsBlanks" dxfId="10" priority="11">
      <formula>LEN(TRIM(BM9))=0</formula>
    </cfRule>
  </conditionalFormatting>
  <conditionalFormatting sqref="BF9">
    <cfRule type="containsBlanks" dxfId="9" priority="10">
      <formula>LEN(TRIM(BF9))=0</formula>
    </cfRule>
  </conditionalFormatting>
  <conditionalFormatting sqref="BN9 BT9:CF9">
    <cfRule type="containsBlanks" dxfId="8" priority="9">
      <formula>LEN(TRIM(BN9))=0</formula>
    </cfRule>
  </conditionalFormatting>
  <conditionalFormatting sqref="BY9">
    <cfRule type="containsBlanks" dxfId="7" priority="8">
      <formula>LEN(TRIM(BY9))=0</formula>
    </cfRule>
  </conditionalFormatting>
  <conditionalFormatting sqref="BS9">
    <cfRule type="containsBlanks" dxfId="6" priority="7">
      <formula>LEN(TRIM(BS9))=0</formula>
    </cfRule>
  </conditionalFormatting>
  <conditionalFormatting sqref="BO9">
    <cfRule type="containsBlanks" dxfId="5" priority="6">
      <formula>LEN(TRIM(BO9))=0</formula>
    </cfRule>
  </conditionalFormatting>
  <conditionalFormatting sqref="BR9">
    <cfRule type="containsBlanks" dxfId="4" priority="5">
      <formula>LEN(TRIM(BR9))=0</formula>
    </cfRule>
  </conditionalFormatting>
  <conditionalFormatting sqref="BQ9">
    <cfRule type="containsBlanks" dxfId="3" priority="4">
      <formula>LEN(TRIM(BQ9))=0</formula>
    </cfRule>
  </conditionalFormatting>
  <conditionalFormatting sqref="BP9">
    <cfRule type="containsBlanks" dxfId="2" priority="3">
      <formula>LEN(TRIM(BP9))=0</formula>
    </cfRule>
  </conditionalFormatting>
  <conditionalFormatting sqref="CG9">
    <cfRule type="containsBlanks" dxfId="1" priority="2">
      <formula>LEN(TRIM(CG9))=0</formula>
    </cfRule>
  </conditionalFormatting>
  <conditionalFormatting sqref="BZ9">
    <cfRule type="containsBlanks" dxfId="0" priority="1">
      <formula>LEN(TRIM(BZ9))=0</formula>
    </cfRule>
  </conditionalFormatting>
  <printOptions horizontalCentered="1" verticalCentered="1"/>
  <pageMargins left="0.2" right="0" top="0" bottom="0" header="0" footer="0"/>
  <pageSetup paperSize="9" scale="71" orientation="landscape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1"/>
  <sheetViews>
    <sheetView showGridLines="0" topLeftCell="A22" zoomScale="115" zoomScaleNormal="115" workbookViewId="0">
      <selection activeCell="B44" sqref="B44"/>
    </sheetView>
  </sheetViews>
  <sheetFormatPr defaultRowHeight="15" x14ac:dyDescent="0.25"/>
  <cols>
    <col min="1" max="1" width="5.140625" customWidth="1"/>
    <col min="2" max="2" width="16" customWidth="1"/>
    <col min="3" max="3" width="20.140625" customWidth="1"/>
    <col min="4" max="4" width="27.85546875" customWidth="1"/>
    <col min="5" max="5" width="20.42578125" customWidth="1"/>
    <col min="6" max="6" width="26.5703125" customWidth="1"/>
    <col min="7" max="7" width="38" customWidth="1"/>
    <col min="8" max="8" width="41.7109375" customWidth="1"/>
    <col min="9" max="9" width="33.7109375" customWidth="1"/>
  </cols>
  <sheetData>
    <row r="2" spans="2:9" ht="26.25" x14ac:dyDescent="0.4">
      <c r="B2" s="120" t="s">
        <v>39</v>
      </c>
    </row>
    <row r="3" spans="2:9" ht="6" customHeight="1" x14ac:dyDescent="0.25"/>
    <row r="4" spans="2:9" ht="23.45" customHeight="1" x14ac:dyDescent="0.25">
      <c r="B4" s="121" t="s">
        <v>40</v>
      </c>
      <c r="C4" s="121" t="s">
        <v>33</v>
      </c>
      <c r="D4" s="121" t="s">
        <v>41</v>
      </c>
      <c r="E4" s="121" t="s">
        <v>2</v>
      </c>
      <c r="F4" s="121" t="s">
        <v>42</v>
      </c>
      <c r="G4" s="121" t="s">
        <v>43</v>
      </c>
      <c r="H4" s="121" t="s">
        <v>44</v>
      </c>
      <c r="I4" s="122" t="s">
        <v>45</v>
      </c>
    </row>
    <row r="5" spans="2:9" x14ac:dyDescent="0.25">
      <c r="B5" s="334">
        <v>46118</v>
      </c>
      <c r="C5" s="123">
        <v>10</v>
      </c>
      <c r="D5" s="124" t="s">
        <v>46</v>
      </c>
      <c r="E5" s="123">
        <v>603</v>
      </c>
      <c r="F5" s="124" t="s">
        <v>47</v>
      </c>
      <c r="G5" s="124" t="s">
        <v>48</v>
      </c>
      <c r="H5" s="124" t="s">
        <v>49</v>
      </c>
      <c r="I5" s="125"/>
    </row>
    <row r="6" spans="2:9" x14ac:dyDescent="0.25">
      <c r="B6" s="335"/>
      <c r="C6" s="123">
        <v>11</v>
      </c>
      <c r="D6" s="124" t="s">
        <v>50</v>
      </c>
      <c r="E6" s="123">
        <v>603</v>
      </c>
      <c r="F6" s="124" t="s">
        <v>51</v>
      </c>
      <c r="G6" s="124" t="s">
        <v>52</v>
      </c>
      <c r="H6" s="124" t="s">
        <v>53</v>
      </c>
      <c r="I6" s="125"/>
    </row>
    <row r="7" spans="2:9" x14ac:dyDescent="0.25">
      <c r="B7" s="335"/>
      <c r="C7" s="123">
        <v>4</v>
      </c>
      <c r="D7" s="124" t="s">
        <v>46</v>
      </c>
      <c r="E7" s="123">
        <v>603</v>
      </c>
      <c r="F7" s="124" t="s">
        <v>47</v>
      </c>
      <c r="G7" s="124" t="s">
        <v>54</v>
      </c>
      <c r="H7" s="124" t="s">
        <v>55</v>
      </c>
      <c r="I7" s="125"/>
    </row>
    <row r="8" spans="2:9" x14ac:dyDescent="0.25">
      <c r="B8" s="336"/>
      <c r="C8" s="123">
        <v>5</v>
      </c>
      <c r="D8" s="124" t="s">
        <v>29</v>
      </c>
      <c r="E8" s="123">
        <v>603</v>
      </c>
      <c r="F8" s="124" t="s">
        <v>51</v>
      </c>
      <c r="G8" s="124" t="s">
        <v>52</v>
      </c>
      <c r="H8" s="124" t="s">
        <v>56</v>
      </c>
      <c r="I8" s="125"/>
    </row>
    <row r="9" spans="2:9" x14ac:dyDescent="0.25">
      <c r="B9" s="337">
        <v>46119</v>
      </c>
      <c r="C9" s="130">
        <v>4</v>
      </c>
      <c r="D9" s="131" t="s">
        <v>46</v>
      </c>
      <c r="E9" s="130">
        <v>603</v>
      </c>
      <c r="F9" s="132" t="s">
        <v>57</v>
      </c>
      <c r="G9" s="131" t="s">
        <v>58</v>
      </c>
      <c r="H9" s="133" t="s">
        <v>59</v>
      </c>
      <c r="I9" s="130"/>
    </row>
    <row r="10" spans="2:9" x14ac:dyDescent="0.25">
      <c r="B10" s="338"/>
      <c r="C10" s="130">
        <v>10</v>
      </c>
      <c r="D10" s="131" t="s">
        <v>46</v>
      </c>
      <c r="E10" s="130">
        <v>603</v>
      </c>
      <c r="F10" s="133" t="s">
        <v>57</v>
      </c>
      <c r="G10" s="131" t="s">
        <v>48</v>
      </c>
      <c r="H10" s="133" t="s">
        <v>60</v>
      </c>
      <c r="I10" s="130"/>
    </row>
    <row r="11" spans="2:9" x14ac:dyDescent="0.25">
      <c r="B11" s="338"/>
      <c r="C11" s="130">
        <v>4</v>
      </c>
      <c r="D11" s="131" t="s">
        <v>50</v>
      </c>
      <c r="E11" s="130">
        <v>603</v>
      </c>
      <c r="F11" s="133" t="s">
        <v>51</v>
      </c>
      <c r="G11" s="131" t="s">
        <v>52</v>
      </c>
      <c r="H11" s="133" t="s">
        <v>56</v>
      </c>
      <c r="I11" s="130"/>
    </row>
    <row r="12" spans="2:9" x14ac:dyDescent="0.25">
      <c r="B12" s="338"/>
      <c r="C12" s="130">
        <v>5</v>
      </c>
      <c r="D12" s="131" t="s">
        <v>46</v>
      </c>
      <c r="E12" s="130">
        <v>603</v>
      </c>
      <c r="F12" s="133" t="s">
        <v>61</v>
      </c>
      <c r="G12" s="131" t="s">
        <v>58</v>
      </c>
      <c r="H12" s="133" t="s">
        <v>62</v>
      </c>
      <c r="I12" s="130"/>
    </row>
    <row r="13" spans="2:9" x14ac:dyDescent="0.25">
      <c r="B13" s="339"/>
      <c r="C13" s="130">
        <v>5</v>
      </c>
      <c r="D13" s="131" t="s">
        <v>50</v>
      </c>
      <c r="E13" s="130">
        <v>603</v>
      </c>
      <c r="F13" s="133" t="s">
        <v>63</v>
      </c>
      <c r="G13" s="131" t="s">
        <v>48</v>
      </c>
      <c r="H13" s="133" t="s">
        <v>64</v>
      </c>
      <c r="I13" s="130"/>
    </row>
    <row r="14" spans="2:9" x14ac:dyDescent="0.25">
      <c r="B14" s="340">
        <v>46120</v>
      </c>
      <c r="C14" s="139">
        <v>4</v>
      </c>
      <c r="D14" s="140" t="s">
        <v>32</v>
      </c>
      <c r="E14" s="139">
        <v>603</v>
      </c>
      <c r="F14" s="141" t="s">
        <v>57</v>
      </c>
      <c r="G14" s="140" t="s">
        <v>48</v>
      </c>
      <c r="H14" s="141" t="s">
        <v>68</v>
      </c>
      <c r="I14" s="139"/>
    </row>
    <row r="15" spans="2:9" x14ac:dyDescent="0.25">
      <c r="B15" s="341"/>
      <c r="C15" s="139">
        <v>10</v>
      </c>
      <c r="D15" s="140" t="s">
        <v>32</v>
      </c>
      <c r="E15" s="139">
        <v>603</v>
      </c>
      <c r="F15" s="141" t="s">
        <v>69</v>
      </c>
      <c r="G15" s="140" t="s">
        <v>58</v>
      </c>
      <c r="H15" s="141" t="s">
        <v>59</v>
      </c>
      <c r="I15" s="139" t="s">
        <v>70</v>
      </c>
    </row>
    <row r="16" spans="2:9" x14ac:dyDescent="0.25">
      <c r="B16" s="341"/>
      <c r="C16" s="139">
        <v>4</v>
      </c>
      <c r="D16" s="140" t="s">
        <v>29</v>
      </c>
      <c r="E16" s="139">
        <v>603</v>
      </c>
      <c r="F16" s="141" t="s">
        <v>51</v>
      </c>
      <c r="G16" s="140" t="s">
        <v>52</v>
      </c>
      <c r="H16" s="141" t="s">
        <v>56</v>
      </c>
      <c r="I16" s="139"/>
    </row>
    <row r="17" spans="2:9" x14ac:dyDescent="0.25">
      <c r="B17" s="342">
        <v>46121</v>
      </c>
      <c r="C17" s="136">
        <v>4</v>
      </c>
      <c r="D17" s="137" t="s">
        <v>32</v>
      </c>
      <c r="E17" s="136">
        <v>603</v>
      </c>
      <c r="F17" s="138" t="s">
        <v>71</v>
      </c>
      <c r="G17" s="137" t="s">
        <v>54</v>
      </c>
      <c r="H17" s="138" t="s">
        <v>72</v>
      </c>
      <c r="I17" s="136"/>
    </row>
    <row r="18" spans="2:9" x14ac:dyDescent="0.25">
      <c r="B18" s="343"/>
      <c r="C18" s="136">
        <v>4</v>
      </c>
      <c r="D18" s="137" t="s">
        <v>29</v>
      </c>
      <c r="E18" s="136">
        <v>603</v>
      </c>
      <c r="F18" s="138" t="s">
        <v>51</v>
      </c>
      <c r="G18" s="137" t="s">
        <v>52</v>
      </c>
      <c r="H18" s="138" t="s">
        <v>73</v>
      </c>
      <c r="I18" s="136"/>
    </row>
    <row r="19" spans="2:9" x14ac:dyDescent="0.25">
      <c r="B19" s="343"/>
      <c r="C19" s="136">
        <v>5</v>
      </c>
      <c r="D19" s="137" t="s">
        <v>29</v>
      </c>
      <c r="E19" s="136">
        <v>603</v>
      </c>
      <c r="F19" s="138"/>
      <c r="G19" s="137"/>
      <c r="H19" s="138"/>
      <c r="I19" s="136"/>
    </row>
    <row r="20" spans="2:9" x14ac:dyDescent="0.25">
      <c r="B20" s="343"/>
      <c r="C20" s="136">
        <v>10</v>
      </c>
      <c r="D20" s="137" t="s">
        <v>29</v>
      </c>
      <c r="E20" s="136">
        <v>603</v>
      </c>
      <c r="F20" s="138" t="s">
        <v>51</v>
      </c>
      <c r="G20" s="137" t="s">
        <v>52</v>
      </c>
      <c r="H20" s="138" t="s">
        <v>56</v>
      </c>
      <c r="I20" s="136"/>
    </row>
    <row r="21" spans="2:9" x14ac:dyDescent="0.25">
      <c r="B21" s="343"/>
      <c r="C21" s="136">
        <v>10</v>
      </c>
      <c r="D21" s="137" t="s">
        <v>32</v>
      </c>
      <c r="E21" s="136">
        <v>603</v>
      </c>
      <c r="F21" s="138" t="s">
        <v>74</v>
      </c>
      <c r="G21" s="137" t="s">
        <v>58</v>
      </c>
      <c r="H21" s="138" t="s">
        <v>62</v>
      </c>
      <c r="I21" s="136"/>
    </row>
    <row r="22" spans="2:9" x14ac:dyDescent="0.25">
      <c r="B22" s="344"/>
      <c r="C22" s="136">
        <v>11</v>
      </c>
      <c r="D22" s="137" t="s">
        <v>32</v>
      </c>
      <c r="E22" s="136">
        <v>603</v>
      </c>
      <c r="F22" s="138" t="s">
        <v>75</v>
      </c>
      <c r="G22" s="137" t="s">
        <v>58</v>
      </c>
      <c r="H22" s="138" t="s">
        <v>76</v>
      </c>
      <c r="I22" s="136"/>
    </row>
    <row r="23" spans="2:9" x14ac:dyDescent="0.25">
      <c r="B23" s="328">
        <v>46122</v>
      </c>
      <c r="C23" s="159">
        <v>5</v>
      </c>
      <c r="D23" s="160" t="s">
        <v>32</v>
      </c>
      <c r="E23" s="159">
        <v>603</v>
      </c>
      <c r="F23" s="161" t="s">
        <v>61</v>
      </c>
      <c r="G23" s="160" t="s">
        <v>54</v>
      </c>
      <c r="H23" s="161" t="s">
        <v>87</v>
      </c>
      <c r="I23" s="159"/>
    </row>
    <row r="24" spans="2:9" x14ac:dyDescent="0.25">
      <c r="B24" s="329"/>
      <c r="C24" s="159"/>
      <c r="D24" s="160"/>
      <c r="E24" s="159">
        <v>603</v>
      </c>
      <c r="F24" s="161"/>
      <c r="G24" s="160"/>
      <c r="H24" s="161"/>
      <c r="I24" s="159"/>
    </row>
    <row r="25" spans="2:9" x14ac:dyDescent="0.25">
      <c r="B25" s="329"/>
      <c r="C25" s="159"/>
      <c r="D25" s="160"/>
      <c r="E25" s="159">
        <v>603</v>
      </c>
      <c r="F25" s="161"/>
      <c r="G25" s="160"/>
      <c r="H25" s="161"/>
      <c r="I25" s="159"/>
    </row>
    <row r="26" spans="2:9" x14ac:dyDescent="0.25">
      <c r="B26" s="329"/>
      <c r="C26" s="159"/>
      <c r="D26" s="160"/>
      <c r="E26" s="159">
        <v>603</v>
      </c>
      <c r="F26" s="161"/>
      <c r="G26" s="160"/>
      <c r="H26" s="161"/>
      <c r="I26" s="159"/>
    </row>
    <row r="27" spans="2:9" x14ac:dyDescent="0.25">
      <c r="B27" s="330"/>
      <c r="C27" s="159"/>
      <c r="D27" s="160"/>
      <c r="E27" s="159">
        <v>603</v>
      </c>
      <c r="F27" s="161"/>
      <c r="G27" s="160"/>
      <c r="H27" s="161"/>
      <c r="I27" s="159"/>
    </row>
    <row r="28" spans="2:9" x14ac:dyDescent="0.25">
      <c r="B28" s="331">
        <v>46123</v>
      </c>
      <c r="C28" s="162">
        <v>5</v>
      </c>
      <c r="D28" s="163" t="s">
        <v>32</v>
      </c>
      <c r="E28" s="162">
        <v>603</v>
      </c>
      <c r="F28" s="164" t="s">
        <v>61</v>
      </c>
      <c r="G28" s="163" t="s">
        <v>54</v>
      </c>
      <c r="H28" s="163" t="s">
        <v>88</v>
      </c>
      <c r="I28" s="162"/>
    </row>
    <row r="29" spans="2:9" x14ac:dyDescent="0.25">
      <c r="B29" s="332"/>
      <c r="C29" s="162">
        <v>10</v>
      </c>
      <c r="D29" s="163" t="s">
        <v>32</v>
      </c>
      <c r="E29" s="162">
        <v>603</v>
      </c>
      <c r="F29" s="164" t="s">
        <v>47</v>
      </c>
      <c r="G29" s="163" t="s">
        <v>67</v>
      </c>
      <c r="H29" s="164" t="s">
        <v>89</v>
      </c>
      <c r="I29" s="162"/>
    </row>
    <row r="30" spans="2:9" x14ac:dyDescent="0.25">
      <c r="B30" s="333"/>
      <c r="C30" s="162">
        <v>4</v>
      </c>
      <c r="D30" s="163" t="s">
        <v>32</v>
      </c>
      <c r="E30" s="162">
        <v>603</v>
      </c>
      <c r="F30" s="164" t="s">
        <v>47</v>
      </c>
      <c r="G30" s="163" t="s">
        <v>54</v>
      </c>
      <c r="H30" s="164" t="s">
        <v>90</v>
      </c>
      <c r="I30" s="162"/>
    </row>
    <row r="31" spans="2:9" x14ac:dyDescent="0.25">
      <c r="B31" s="328">
        <v>46125</v>
      </c>
      <c r="C31" s="159"/>
      <c r="D31" s="160"/>
      <c r="E31" s="159">
        <v>603</v>
      </c>
      <c r="F31" s="161"/>
      <c r="G31" s="160"/>
      <c r="H31" s="161"/>
      <c r="I31" s="159"/>
    </row>
    <row r="32" spans="2:9" x14ac:dyDescent="0.25">
      <c r="B32" s="329"/>
      <c r="C32" s="159"/>
      <c r="D32" s="160"/>
      <c r="E32" s="159">
        <v>603</v>
      </c>
      <c r="F32" s="161"/>
      <c r="G32" s="160"/>
      <c r="H32" s="161"/>
      <c r="I32" s="159"/>
    </row>
    <row r="33" spans="2:9" x14ac:dyDescent="0.25">
      <c r="B33" s="329"/>
      <c r="C33" s="159"/>
      <c r="D33" s="160"/>
      <c r="E33" s="159">
        <v>603</v>
      </c>
      <c r="F33" s="161"/>
      <c r="G33" s="160"/>
      <c r="H33" s="161"/>
      <c r="I33" s="159"/>
    </row>
    <row r="34" spans="2:9" x14ac:dyDescent="0.25">
      <c r="B34" s="329"/>
      <c r="C34" s="159"/>
      <c r="D34" s="160"/>
      <c r="E34" s="159">
        <v>603</v>
      </c>
      <c r="F34" s="161"/>
      <c r="G34" s="160"/>
      <c r="H34" s="161"/>
      <c r="I34" s="159"/>
    </row>
    <row r="35" spans="2:9" x14ac:dyDescent="0.25">
      <c r="B35" s="330"/>
      <c r="C35" s="159"/>
      <c r="D35" s="160"/>
      <c r="E35" s="159">
        <v>603</v>
      </c>
      <c r="F35" s="161"/>
      <c r="G35" s="160"/>
      <c r="H35" s="161"/>
      <c r="I35" s="159"/>
    </row>
    <row r="36" spans="2:9" x14ac:dyDescent="0.25">
      <c r="B36" s="173">
        <v>46126</v>
      </c>
      <c r="C36" s="174">
        <v>4</v>
      </c>
      <c r="D36" s="175" t="s">
        <v>32</v>
      </c>
      <c r="E36" s="174">
        <v>603</v>
      </c>
      <c r="F36" s="176" t="s">
        <v>61</v>
      </c>
      <c r="G36" s="175" t="s">
        <v>48</v>
      </c>
      <c r="H36" s="176" t="s">
        <v>59</v>
      </c>
      <c r="I36" s="174" t="s">
        <v>91</v>
      </c>
    </row>
    <row r="37" spans="2:9" x14ac:dyDescent="0.25">
      <c r="B37" s="322">
        <v>46127</v>
      </c>
      <c r="C37" s="224">
        <v>10</v>
      </c>
      <c r="D37" s="225" t="s">
        <v>65</v>
      </c>
      <c r="E37" s="224">
        <v>603</v>
      </c>
      <c r="F37" s="226" t="s">
        <v>195</v>
      </c>
      <c r="G37" s="225" t="s">
        <v>52</v>
      </c>
      <c r="H37" s="226" t="s">
        <v>196</v>
      </c>
      <c r="I37" s="224"/>
    </row>
    <row r="38" spans="2:9" x14ac:dyDescent="0.25">
      <c r="B38" s="323"/>
      <c r="C38" s="224">
        <v>11</v>
      </c>
      <c r="D38" s="225" t="s">
        <v>65</v>
      </c>
      <c r="E38" s="224">
        <v>603</v>
      </c>
      <c r="F38" s="226" t="s">
        <v>195</v>
      </c>
      <c r="G38" s="225" t="s">
        <v>52</v>
      </c>
      <c r="H38" s="226" t="s">
        <v>196</v>
      </c>
      <c r="I38" s="224"/>
    </row>
    <row r="39" spans="2:9" x14ac:dyDescent="0.25">
      <c r="B39" s="324"/>
      <c r="C39" s="227">
        <v>10</v>
      </c>
      <c r="D39" s="228" t="s">
        <v>32</v>
      </c>
      <c r="E39" s="227">
        <v>603</v>
      </c>
      <c r="F39" s="229" t="s">
        <v>47</v>
      </c>
      <c r="G39" s="228" t="s">
        <v>67</v>
      </c>
      <c r="H39" s="229" t="s">
        <v>197</v>
      </c>
      <c r="I39" s="224"/>
    </row>
    <row r="40" spans="2:9" x14ac:dyDescent="0.25">
      <c r="B40" s="325">
        <v>46128</v>
      </c>
      <c r="C40" s="230">
        <v>9</v>
      </c>
      <c r="D40" s="231" t="s">
        <v>65</v>
      </c>
      <c r="E40" s="230">
        <v>603</v>
      </c>
      <c r="F40" s="232" t="s">
        <v>195</v>
      </c>
      <c r="G40" s="231" t="s">
        <v>52</v>
      </c>
      <c r="H40" s="232" t="s">
        <v>196</v>
      </c>
      <c r="I40" s="233"/>
    </row>
    <row r="41" spans="2:9" x14ac:dyDescent="0.25">
      <c r="B41" s="326"/>
      <c r="C41" s="234">
        <v>4</v>
      </c>
      <c r="D41" s="235" t="s">
        <v>32</v>
      </c>
      <c r="E41" s="234">
        <v>603</v>
      </c>
      <c r="F41" s="236" t="s">
        <v>61</v>
      </c>
      <c r="G41" s="235" t="s">
        <v>48</v>
      </c>
      <c r="H41" s="236" t="s">
        <v>198</v>
      </c>
      <c r="I41" s="230"/>
    </row>
    <row r="42" spans="2:9" x14ac:dyDescent="0.25">
      <c r="B42" s="326"/>
      <c r="C42" s="230">
        <v>5</v>
      </c>
      <c r="D42" s="231" t="s">
        <v>32</v>
      </c>
      <c r="E42" s="230">
        <v>603</v>
      </c>
      <c r="F42" s="232" t="s">
        <v>61</v>
      </c>
      <c r="G42" s="231" t="s">
        <v>48</v>
      </c>
      <c r="H42" s="232" t="s">
        <v>68</v>
      </c>
      <c r="I42" s="230"/>
    </row>
    <row r="43" spans="2:9" x14ac:dyDescent="0.25">
      <c r="B43" s="327"/>
      <c r="C43" s="230">
        <v>10</v>
      </c>
      <c r="D43" s="231" t="s">
        <v>32</v>
      </c>
      <c r="E43" s="230">
        <v>603</v>
      </c>
      <c r="F43" s="232" t="s">
        <v>47</v>
      </c>
      <c r="G43" s="231" t="s">
        <v>54</v>
      </c>
      <c r="H43" s="232" t="s">
        <v>199</v>
      </c>
      <c r="I43" s="230"/>
    </row>
    <row r="44" spans="2:9" x14ac:dyDescent="0.25">
      <c r="B44" s="129"/>
      <c r="C44" s="126"/>
      <c r="D44" s="127"/>
      <c r="E44" s="126">
        <v>603</v>
      </c>
      <c r="F44" s="128"/>
      <c r="G44" s="127"/>
      <c r="H44" s="128"/>
      <c r="I44" s="126"/>
    </row>
    <row r="45" spans="2:9" x14ac:dyDescent="0.25">
      <c r="B45" s="129"/>
      <c r="C45" s="126"/>
      <c r="D45" s="127"/>
      <c r="E45" s="126">
        <v>603</v>
      </c>
      <c r="F45" s="128"/>
      <c r="G45" s="127"/>
      <c r="H45" s="128"/>
      <c r="I45" s="126"/>
    </row>
    <row r="46" spans="2:9" x14ac:dyDescent="0.25">
      <c r="B46" s="129"/>
      <c r="C46" s="126"/>
      <c r="D46" s="127"/>
      <c r="E46" s="126">
        <v>603</v>
      </c>
      <c r="F46" s="128"/>
      <c r="G46" s="127"/>
      <c r="H46" s="128"/>
      <c r="I46" s="126"/>
    </row>
    <row r="47" spans="2:9" x14ac:dyDescent="0.25">
      <c r="B47" s="129"/>
      <c r="C47" s="126"/>
      <c r="D47" s="127"/>
      <c r="E47" s="126">
        <v>603</v>
      </c>
      <c r="F47" s="128"/>
      <c r="G47" s="127"/>
      <c r="H47" s="128"/>
      <c r="I47" s="126"/>
    </row>
    <row r="48" spans="2:9" x14ac:dyDescent="0.25">
      <c r="B48" s="129"/>
      <c r="C48" s="126"/>
      <c r="D48" s="127"/>
      <c r="E48" s="126">
        <v>603</v>
      </c>
      <c r="F48" s="128"/>
      <c r="G48" s="127"/>
      <c r="H48" s="128"/>
      <c r="I48" s="126"/>
    </row>
    <row r="49" spans="2:9" x14ac:dyDescent="0.25">
      <c r="B49" s="129"/>
      <c r="C49" s="126"/>
      <c r="D49" s="127"/>
      <c r="E49" s="126">
        <v>603</v>
      </c>
      <c r="F49" s="128"/>
      <c r="G49" s="127"/>
      <c r="H49" s="128"/>
      <c r="I49" s="126"/>
    </row>
    <row r="50" spans="2:9" x14ac:dyDescent="0.25">
      <c r="B50" s="129"/>
      <c r="C50" s="126"/>
      <c r="D50" s="127"/>
      <c r="E50" s="126">
        <v>603</v>
      </c>
      <c r="F50" s="128"/>
      <c r="G50" s="127"/>
      <c r="H50" s="128"/>
      <c r="I50" s="126"/>
    </row>
    <row r="51" spans="2:9" x14ac:dyDescent="0.25">
      <c r="B51" s="129"/>
      <c r="C51" s="126"/>
      <c r="D51" s="127"/>
      <c r="E51" s="126">
        <v>603</v>
      </c>
      <c r="F51" s="128"/>
      <c r="G51" s="127"/>
      <c r="H51" s="128"/>
      <c r="I51" s="126"/>
    </row>
    <row r="52" spans="2:9" x14ac:dyDescent="0.25">
      <c r="B52" s="129"/>
      <c r="C52" s="126"/>
      <c r="D52" s="127"/>
      <c r="E52" s="126">
        <v>603</v>
      </c>
      <c r="F52" s="128"/>
      <c r="G52" s="127"/>
      <c r="H52" s="128"/>
      <c r="I52" s="126"/>
    </row>
    <row r="53" spans="2:9" x14ac:dyDescent="0.25">
      <c r="B53" s="129"/>
      <c r="C53" s="126"/>
      <c r="D53" s="127"/>
      <c r="E53" s="126">
        <v>603</v>
      </c>
      <c r="F53" s="128"/>
      <c r="G53" s="127"/>
      <c r="H53" s="128"/>
      <c r="I53" s="126"/>
    </row>
    <row r="54" spans="2:9" x14ac:dyDescent="0.25">
      <c r="B54" s="129"/>
      <c r="C54" s="126"/>
      <c r="D54" s="127"/>
      <c r="E54" s="126">
        <v>603</v>
      </c>
      <c r="F54" s="128"/>
      <c r="G54" s="127"/>
      <c r="H54" s="128"/>
      <c r="I54" s="126"/>
    </row>
    <row r="55" spans="2:9" x14ac:dyDescent="0.25">
      <c r="B55" s="129"/>
      <c r="C55" s="126"/>
      <c r="D55" s="127"/>
      <c r="E55" s="126">
        <v>603</v>
      </c>
      <c r="F55" s="128"/>
      <c r="G55" s="127"/>
      <c r="H55" s="128"/>
      <c r="I55" s="126"/>
    </row>
    <row r="56" spans="2:9" x14ac:dyDescent="0.25">
      <c r="B56" s="129"/>
      <c r="C56" s="126"/>
      <c r="D56" s="127"/>
      <c r="E56" s="126">
        <v>603</v>
      </c>
      <c r="F56" s="128"/>
      <c r="G56" s="127"/>
      <c r="H56" s="128"/>
      <c r="I56" s="126"/>
    </row>
    <row r="57" spans="2:9" x14ac:dyDescent="0.25">
      <c r="B57" s="129"/>
      <c r="C57" s="126"/>
      <c r="D57" s="127"/>
      <c r="E57" s="126">
        <v>603</v>
      </c>
      <c r="F57" s="128"/>
      <c r="G57" s="127"/>
      <c r="H57" s="128"/>
      <c r="I57" s="126"/>
    </row>
    <row r="58" spans="2:9" x14ac:dyDescent="0.25">
      <c r="B58" s="129"/>
      <c r="C58" s="126"/>
      <c r="D58" s="127"/>
      <c r="E58" s="126">
        <v>603</v>
      </c>
      <c r="F58" s="128"/>
      <c r="G58" s="127"/>
      <c r="H58" s="128"/>
      <c r="I58" s="126"/>
    </row>
    <row r="59" spans="2:9" x14ac:dyDescent="0.25">
      <c r="B59" s="129"/>
      <c r="C59" s="126"/>
      <c r="D59" s="127"/>
      <c r="E59" s="126">
        <v>603</v>
      </c>
      <c r="F59" s="128"/>
      <c r="G59" s="127"/>
      <c r="H59" s="128"/>
      <c r="I59" s="126"/>
    </row>
    <row r="60" spans="2:9" x14ac:dyDescent="0.25">
      <c r="B60" s="129"/>
      <c r="C60" s="126"/>
      <c r="D60" s="127"/>
      <c r="E60" s="126">
        <v>603</v>
      </c>
      <c r="F60" s="128"/>
      <c r="G60" s="127"/>
      <c r="H60" s="128"/>
      <c r="I60" s="126"/>
    </row>
    <row r="61" spans="2:9" x14ac:dyDescent="0.25">
      <c r="B61" s="129"/>
      <c r="C61" s="126"/>
      <c r="D61" s="127"/>
      <c r="E61" s="126">
        <v>603</v>
      </c>
      <c r="F61" s="128"/>
      <c r="G61" s="127"/>
      <c r="H61" s="128"/>
      <c r="I61" s="126"/>
    </row>
    <row r="62" spans="2:9" x14ac:dyDescent="0.25">
      <c r="B62" s="129"/>
      <c r="C62" s="126"/>
      <c r="D62" s="127"/>
      <c r="E62" s="126">
        <v>603</v>
      </c>
      <c r="F62" s="128"/>
      <c r="G62" s="127"/>
      <c r="H62" s="128"/>
      <c r="I62" s="126"/>
    </row>
    <row r="63" spans="2:9" x14ac:dyDescent="0.25">
      <c r="B63" s="129"/>
      <c r="C63" s="126"/>
      <c r="D63" s="127"/>
      <c r="E63" s="126">
        <v>603</v>
      </c>
      <c r="F63" s="128"/>
      <c r="G63" s="127"/>
      <c r="H63" s="128"/>
      <c r="I63" s="126"/>
    </row>
    <row r="64" spans="2:9" x14ac:dyDescent="0.25">
      <c r="B64" s="129"/>
      <c r="C64" s="126"/>
      <c r="D64" s="127"/>
      <c r="E64" s="126">
        <v>603</v>
      </c>
      <c r="F64" s="128"/>
      <c r="G64" s="127"/>
      <c r="H64" s="128"/>
      <c r="I64" s="126"/>
    </row>
    <row r="65" spans="2:9" x14ac:dyDescent="0.25">
      <c r="B65" s="129"/>
      <c r="C65" s="126"/>
      <c r="D65" s="127"/>
      <c r="E65" s="126">
        <v>603</v>
      </c>
      <c r="F65" s="128"/>
      <c r="G65" s="127"/>
      <c r="H65" s="128"/>
      <c r="I65" s="126"/>
    </row>
    <row r="66" spans="2:9" x14ac:dyDescent="0.25">
      <c r="B66" s="129"/>
      <c r="C66" s="126"/>
      <c r="D66" s="127"/>
      <c r="E66" s="126">
        <v>603</v>
      </c>
      <c r="F66" s="128"/>
      <c r="G66" s="127"/>
      <c r="H66" s="128"/>
      <c r="I66" s="126"/>
    </row>
    <row r="67" spans="2:9" x14ac:dyDescent="0.25">
      <c r="B67" s="129"/>
      <c r="C67" s="126"/>
      <c r="D67" s="127"/>
      <c r="E67" s="126">
        <v>603</v>
      </c>
      <c r="F67" s="128"/>
      <c r="G67" s="127"/>
      <c r="H67" s="128"/>
      <c r="I67" s="126"/>
    </row>
    <row r="68" spans="2:9" x14ac:dyDescent="0.25">
      <c r="B68" s="129"/>
      <c r="C68" s="126"/>
      <c r="D68" s="127"/>
      <c r="E68" s="126">
        <v>603</v>
      </c>
      <c r="F68" s="128"/>
      <c r="G68" s="127"/>
      <c r="H68" s="128"/>
      <c r="I68" s="126"/>
    </row>
    <row r="69" spans="2:9" x14ac:dyDescent="0.25">
      <c r="B69" s="129"/>
      <c r="C69" s="126"/>
      <c r="D69" s="127"/>
      <c r="E69" s="126">
        <v>603</v>
      </c>
      <c r="F69" s="128"/>
      <c r="G69" s="127"/>
      <c r="H69" s="128"/>
      <c r="I69" s="126"/>
    </row>
    <row r="70" spans="2:9" x14ac:dyDescent="0.25">
      <c r="B70" s="129"/>
      <c r="C70" s="126"/>
      <c r="D70" s="127"/>
      <c r="E70" s="126">
        <v>603</v>
      </c>
      <c r="F70" s="128"/>
      <c r="G70" s="127"/>
      <c r="H70" s="128"/>
      <c r="I70" s="126"/>
    </row>
    <row r="71" spans="2:9" x14ac:dyDescent="0.25">
      <c r="B71" s="129"/>
      <c r="C71" s="126"/>
      <c r="D71" s="127"/>
      <c r="E71" s="126">
        <v>603</v>
      </c>
      <c r="F71" s="128"/>
      <c r="G71" s="127"/>
      <c r="H71" s="128"/>
      <c r="I71" s="126"/>
    </row>
  </sheetData>
  <mergeCells count="9">
    <mergeCell ref="B37:B39"/>
    <mergeCell ref="B40:B43"/>
    <mergeCell ref="B31:B35"/>
    <mergeCell ref="B28:B30"/>
    <mergeCell ref="B5:B8"/>
    <mergeCell ref="B9:B13"/>
    <mergeCell ref="B14:B16"/>
    <mergeCell ref="B17:B22"/>
    <mergeCell ref="B23:B27"/>
  </mergeCells>
  <dataValidations count="1">
    <dataValidation type="list" allowBlank="1" showInputMessage="1" showErrorMessage="1" sqref="D5:D1048576">
      <formula1>"CUTTING,COMPUTER STITCHING,STITCHING, ASSEMBLY"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Chartz!$D$3:$D$8</xm:f>
          </x14:formula1>
          <xm:sqref>G5:G1048576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8"/>
  <sheetViews>
    <sheetView workbookViewId="0">
      <selection activeCell="D3" sqref="D3:D8"/>
    </sheetView>
  </sheetViews>
  <sheetFormatPr defaultRowHeight="15" x14ac:dyDescent="0.25"/>
  <cols>
    <col min="2" max="2" width="18.28515625" bestFit="1" customWidth="1"/>
    <col min="4" max="4" width="40.5703125" bestFit="1" customWidth="1"/>
  </cols>
  <sheetData>
    <row r="2" spans="2:4" x14ac:dyDescent="0.25">
      <c r="B2" t="s">
        <v>41</v>
      </c>
      <c r="D2" t="s">
        <v>42</v>
      </c>
    </row>
    <row r="3" spans="2:4" x14ac:dyDescent="0.25">
      <c r="B3" t="s">
        <v>65</v>
      </c>
      <c r="D3" t="s">
        <v>66</v>
      </c>
    </row>
    <row r="4" spans="2:4" x14ac:dyDescent="0.25">
      <c r="B4" t="s">
        <v>46</v>
      </c>
      <c r="D4" t="s">
        <v>58</v>
      </c>
    </row>
    <row r="5" spans="2:4" x14ac:dyDescent="0.25">
      <c r="B5" t="s">
        <v>50</v>
      </c>
      <c r="D5" t="s">
        <v>54</v>
      </c>
    </row>
    <row r="6" spans="2:4" x14ac:dyDescent="0.25">
      <c r="B6" t="s">
        <v>29</v>
      </c>
      <c r="D6" t="s">
        <v>67</v>
      </c>
    </row>
    <row r="7" spans="2:4" x14ac:dyDescent="0.25">
      <c r="D7" t="s">
        <v>52</v>
      </c>
    </row>
    <row r="8" spans="2:4" x14ac:dyDescent="0.25">
      <c r="D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Summary</vt:lpstr>
      <vt:lpstr>Computer Stitching PerHour</vt:lpstr>
      <vt:lpstr>Cell 3 603</vt:lpstr>
      <vt:lpstr>Cell 4 603</vt:lpstr>
      <vt:lpstr>Cell 5 603</vt:lpstr>
      <vt:lpstr>Cell 9 603</vt:lpstr>
      <vt:lpstr>Cell 10 603</vt:lpstr>
      <vt:lpstr>Cell 11 603</vt:lpstr>
      <vt:lpstr>Cell 5 CS Shift 2</vt:lpstr>
      <vt:lpstr>Cell 7 CS Shift 2</vt:lpstr>
      <vt:lpstr>Cell D6</vt:lpstr>
      <vt:lpstr>Buffer Zone</vt:lpstr>
      <vt:lpstr>Summary Issue Model 603</vt:lpstr>
      <vt:lpstr>Chartz</vt:lpstr>
      <vt:lpstr>'Buffer Zone'!Print_Area</vt:lpstr>
      <vt:lpstr>'Cell 10 603'!Print_Area</vt:lpstr>
      <vt:lpstr>'Cell 11 603'!Print_Area</vt:lpstr>
      <vt:lpstr>'Cell 3 603'!Print_Area</vt:lpstr>
      <vt:lpstr>'Cell 4 603'!Print_Area</vt:lpstr>
      <vt:lpstr>'Cell 5 603'!Print_Area</vt:lpstr>
      <vt:lpstr>'Cell 5 CS Shift 2'!Print_Area</vt:lpstr>
      <vt:lpstr>'Cell 7 CS Shift 2'!Print_Area</vt:lpstr>
      <vt:lpstr>'Cell 9 603'!Print_Area</vt:lpstr>
      <vt:lpstr>'Cell D6'!Print_Area</vt:lpstr>
      <vt:lpstr>'Computer Stitching PerHour'!Print_Area</vt:lpstr>
      <vt:lpstr>Summary!Print_Area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Yahya</cp:lastModifiedBy>
  <cp:lastPrinted>2026-04-17T06:46:13Z</cp:lastPrinted>
  <dcterms:created xsi:type="dcterms:W3CDTF">2026-01-09T10:16:07Z</dcterms:created>
  <dcterms:modified xsi:type="dcterms:W3CDTF">2026-04-23T02:56:30Z</dcterms:modified>
</cp:coreProperties>
</file>